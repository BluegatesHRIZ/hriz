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ole\Downloads\"/>
    </mc:Choice>
  </mc:AlternateContent>
  <xr:revisionPtr revIDLastSave="0" documentId="8_{CF3374CC-632A-4B0E-BED6-62E9B67AAF57}" xr6:coauthVersionLast="47" xr6:coauthVersionMax="47" xr10:uidLastSave="{00000000-0000-0000-0000-000000000000}"/>
  <bookViews>
    <workbookView xWindow="-25905" yWindow="2940" windowWidth="21600" windowHeight="11295" activeTab="1" xr2:uid="{00000000-000D-0000-FFFF-FFFF00000000}"/>
  </bookViews>
  <sheets>
    <sheet name="June 27 - April 3" sheetId="3" r:id="rId1"/>
    <sheet name="Sheet1" sheetId="4" r:id="rId2"/>
  </sheets>
  <definedNames>
    <definedName name="_xlnm.Print_Area" localSheetId="0">'June 27 - April 3'!$A$5:$BG$22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4" l="1"/>
  <c r="I18" i="4"/>
  <c r="G12" i="4"/>
  <c r="G11" i="4"/>
  <c r="G14" i="4"/>
  <c r="G10" i="4"/>
  <c r="G6" i="4"/>
  <c r="G5" i="4"/>
  <c r="E4" i="4"/>
  <c r="E10" i="4"/>
  <c r="G4" i="4"/>
  <c r="G2" i="4"/>
  <c r="E1" i="4"/>
  <c r="C4" i="4"/>
  <c r="C5" i="4" s="1"/>
  <c r="C6" i="4" s="1"/>
  <c r="C3" i="4"/>
  <c r="C2" i="4"/>
  <c r="BE11" i="3"/>
  <c r="AW11" i="3"/>
  <c r="AO11" i="3"/>
  <c r="AG11" i="3"/>
  <c r="Y11" i="3"/>
  <c r="Q11" i="3"/>
  <c r="I11" i="3"/>
  <c r="E5" i="4" l="1"/>
  <c r="E6" i="4" s="1"/>
  <c r="E11" i="4" s="1"/>
  <c r="E12" i="4" s="1"/>
  <c r="E14" i="4"/>
  <c r="C11" i="4"/>
  <c r="C10" i="4"/>
  <c r="C12" i="4" s="1"/>
  <c r="C14" i="4"/>
  <c r="I32" i="3"/>
  <c r="Q32" i="3"/>
  <c r="Y32" i="3"/>
  <c r="AG32" i="3"/>
  <c r="AO32" i="3"/>
  <c r="AW32" i="3"/>
  <c r="BE32" i="3"/>
  <c r="I31" i="3"/>
  <c r="Q31" i="3"/>
  <c r="Y31" i="3"/>
  <c r="AG31" i="3"/>
  <c r="AO31" i="3"/>
  <c r="AW31" i="3"/>
  <c r="BE31" i="3"/>
  <c r="I24" i="3" l="1"/>
  <c r="Q24" i="3"/>
  <c r="Y24" i="3"/>
  <c r="AG24" i="3"/>
  <c r="AO24" i="3"/>
  <c r="AW24" i="3"/>
  <c r="BE24" i="3"/>
  <c r="BE30" i="3" l="1"/>
  <c r="AW30" i="3"/>
  <c r="AO30" i="3"/>
  <c r="AG30" i="3"/>
  <c r="Y30" i="3"/>
  <c r="Q30" i="3"/>
  <c r="I30" i="3"/>
  <c r="BE25" i="3" l="1"/>
  <c r="BE26" i="3"/>
  <c r="BE27" i="3"/>
  <c r="BE28" i="3"/>
  <c r="BE29" i="3"/>
  <c r="AW25" i="3"/>
  <c r="AW26" i="3"/>
  <c r="AW27" i="3"/>
  <c r="AW28" i="3"/>
  <c r="AW29" i="3"/>
  <c r="AO25" i="3"/>
  <c r="AO26" i="3"/>
  <c r="AO27" i="3"/>
  <c r="AO28" i="3"/>
  <c r="AO29" i="3"/>
  <c r="AG25" i="3"/>
  <c r="AG26" i="3"/>
  <c r="AG27" i="3"/>
  <c r="AG28" i="3"/>
  <c r="AG29" i="3"/>
  <c r="Y25" i="3"/>
  <c r="Y26" i="3"/>
  <c r="Y27" i="3"/>
  <c r="Y28" i="3"/>
  <c r="Y29" i="3"/>
  <c r="Q25" i="3"/>
  <c r="Q26" i="3"/>
  <c r="Q27" i="3"/>
  <c r="Q28" i="3"/>
  <c r="Q29" i="3"/>
  <c r="I25" i="3"/>
  <c r="I26" i="3"/>
  <c r="I27" i="3"/>
  <c r="I28" i="3"/>
  <c r="I29" i="3"/>
  <c r="I17" i="3" l="1"/>
  <c r="K17" i="3"/>
  <c r="Q17" i="3"/>
  <c r="S17" i="3"/>
  <c r="Y17" i="3"/>
  <c r="AA17" i="3"/>
  <c r="AG17" i="3"/>
  <c r="AI17" i="3"/>
  <c r="AO17" i="3"/>
  <c r="AQ17" i="3"/>
  <c r="AW17" i="3"/>
  <c r="AY17" i="3"/>
  <c r="BE17" i="3"/>
  <c r="BG17" i="3"/>
  <c r="BE23" i="3" l="1"/>
  <c r="AW23" i="3"/>
  <c r="AO23" i="3"/>
  <c r="AG23" i="3"/>
  <c r="Y23" i="3"/>
  <c r="Q23" i="3"/>
  <c r="I23" i="3"/>
  <c r="I7" i="3" l="1"/>
  <c r="K7" i="3"/>
  <c r="Q7" i="3"/>
  <c r="S7" i="3"/>
  <c r="Y7" i="3"/>
  <c r="AA7" i="3"/>
  <c r="AG7" i="3"/>
  <c r="AI7" i="3"/>
  <c r="AO7" i="3"/>
  <c r="AQ7" i="3"/>
  <c r="AW7" i="3"/>
  <c r="AY7" i="3"/>
  <c r="BE7" i="3"/>
  <c r="BG7" i="3"/>
  <c r="I8" i="3"/>
  <c r="K8" i="3"/>
  <c r="Q8" i="3"/>
  <c r="S8" i="3"/>
  <c r="Y8" i="3"/>
  <c r="AA8" i="3"/>
  <c r="AG8" i="3"/>
  <c r="AI8" i="3"/>
  <c r="AO8" i="3"/>
  <c r="AQ8" i="3"/>
  <c r="AW8" i="3"/>
  <c r="AY8" i="3"/>
  <c r="BE8" i="3"/>
  <c r="BG8" i="3"/>
  <c r="I9" i="3"/>
  <c r="K9" i="3"/>
  <c r="Q9" i="3"/>
  <c r="S9" i="3"/>
  <c r="Y9" i="3"/>
  <c r="AA9" i="3"/>
  <c r="AG9" i="3"/>
  <c r="AI9" i="3"/>
  <c r="AO9" i="3"/>
  <c r="AQ9" i="3"/>
  <c r="AW9" i="3"/>
  <c r="AY9" i="3"/>
  <c r="BE9" i="3"/>
  <c r="BG9" i="3"/>
  <c r="I10" i="3"/>
  <c r="K10" i="3"/>
  <c r="Q10" i="3"/>
  <c r="S10" i="3"/>
  <c r="Y10" i="3"/>
  <c r="AA10" i="3"/>
  <c r="AG10" i="3"/>
  <c r="AI10" i="3"/>
  <c r="AO10" i="3"/>
  <c r="AQ10" i="3"/>
  <c r="AW10" i="3"/>
  <c r="AY10" i="3"/>
  <c r="BE10" i="3"/>
  <c r="BG10" i="3"/>
  <c r="I12" i="3"/>
  <c r="K12" i="3"/>
  <c r="Q12" i="3"/>
  <c r="S12" i="3"/>
  <c r="Y12" i="3"/>
  <c r="AA12" i="3"/>
  <c r="AG12" i="3"/>
  <c r="AI12" i="3"/>
  <c r="AO12" i="3"/>
  <c r="AQ12" i="3"/>
  <c r="AW12" i="3"/>
  <c r="AY12" i="3"/>
  <c r="BE12" i="3"/>
  <c r="BG12" i="3"/>
  <c r="I13" i="3"/>
  <c r="K13" i="3"/>
  <c r="Q13" i="3"/>
  <c r="S13" i="3"/>
  <c r="Y13" i="3"/>
  <c r="AA13" i="3"/>
  <c r="AG13" i="3"/>
  <c r="AI13" i="3"/>
  <c r="AO13" i="3"/>
  <c r="AQ13" i="3"/>
  <c r="AW13" i="3"/>
  <c r="AY13" i="3"/>
  <c r="BE13" i="3"/>
  <c r="BG13" i="3"/>
  <c r="I14" i="3"/>
  <c r="K14" i="3"/>
  <c r="Q14" i="3"/>
  <c r="S14" i="3"/>
  <c r="Y14" i="3"/>
  <c r="AA14" i="3"/>
  <c r="AG14" i="3"/>
  <c r="AI14" i="3"/>
  <c r="AO14" i="3"/>
  <c r="AQ14" i="3"/>
  <c r="AW14" i="3"/>
  <c r="AY14" i="3"/>
  <c r="BE14" i="3"/>
  <c r="BG14" i="3"/>
  <c r="I15" i="3"/>
  <c r="K15" i="3"/>
  <c r="Q15" i="3"/>
  <c r="S15" i="3"/>
  <c r="Y15" i="3"/>
  <c r="AA15" i="3"/>
  <c r="AG15" i="3"/>
  <c r="AI15" i="3"/>
  <c r="AO15" i="3"/>
  <c r="AQ15" i="3"/>
  <c r="AW15" i="3"/>
  <c r="AY15" i="3"/>
  <c r="BE15" i="3"/>
  <c r="BG15" i="3"/>
  <c r="I16" i="3"/>
  <c r="K16" i="3"/>
  <c r="Q16" i="3"/>
  <c r="S16" i="3"/>
  <c r="Y16" i="3"/>
  <c r="AA16" i="3"/>
  <c r="AG16" i="3"/>
  <c r="AI16" i="3"/>
  <c r="AO16" i="3"/>
  <c r="AQ16" i="3"/>
  <c r="AW16" i="3"/>
  <c r="AY16" i="3"/>
  <c r="BE16" i="3"/>
  <c r="BG16" i="3"/>
  <c r="I18" i="3"/>
  <c r="K18" i="3"/>
  <c r="Q18" i="3"/>
  <c r="S18" i="3"/>
  <c r="Y18" i="3"/>
  <c r="AA18" i="3"/>
  <c r="AG18" i="3"/>
  <c r="AI18" i="3"/>
  <c r="AO18" i="3"/>
  <c r="AQ18" i="3"/>
  <c r="AW18" i="3"/>
  <c r="AY18" i="3"/>
  <c r="BE18" i="3"/>
  <c r="BG18" i="3"/>
  <c r="I19" i="3"/>
  <c r="K19" i="3"/>
  <c r="Q19" i="3"/>
  <c r="S19" i="3"/>
  <c r="Y19" i="3"/>
  <c r="AA19" i="3"/>
  <c r="AG19" i="3"/>
  <c r="AI19" i="3"/>
  <c r="AO19" i="3"/>
  <c r="AQ19" i="3"/>
  <c r="AW19" i="3"/>
  <c r="AY19" i="3"/>
  <c r="BE19" i="3"/>
  <c r="BG19" i="3"/>
  <c r="I20" i="3"/>
  <c r="K20" i="3"/>
  <c r="Q20" i="3"/>
  <c r="S20" i="3"/>
  <c r="Y20" i="3"/>
  <c r="AA20" i="3"/>
  <c r="AG20" i="3"/>
  <c r="AI20" i="3"/>
  <c r="AO20" i="3"/>
  <c r="AQ20" i="3"/>
  <c r="AW20" i="3"/>
  <c r="AY20" i="3"/>
  <c r="BE20" i="3"/>
  <c r="BG20" i="3"/>
  <c r="I21" i="3"/>
  <c r="K21" i="3"/>
  <c r="Q21" i="3"/>
  <c r="S21" i="3"/>
  <c r="Y21" i="3"/>
  <c r="AA21" i="3"/>
  <c r="AG21" i="3"/>
  <c r="AO21" i="3"/>
  <c r="AW21" i="3"/>
  <c r="BE21" i="3"/>
  <c r="I22" i="3"/>
  <c r="K22" i="3"/>
  <c r="Q22" i="3"/>
  <c r="S22" i="3"/>
  <c r="Y22" i="3"/>
  <c r="AA22" i="3"/>
  <c r="AG22" i="3"/>
  <c r="AO22" i="3"/>
  <c r="AW22" i="3"/>
  <c r="B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HR-ASSISTANT</author>
  </authors>
  <commentList>
    <comment ref="F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HR-ASSISTANT:</t>
        </r>
        <r>
          <rPr>
            <sz val="9"/>
            <color indexed="81"/>
            <rFont val="Tahoma"/>
            <family val="2"/>
          </rPr>
          <t xml:space="preserve">
LUNCH BREAK/BREAK 1HOUR</t>
        </r>
      </text>
    </comment>
    <comment ref="N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HR-ASSISTANT:</t>
        </r>
        <r>
          <rPr>
            <sz val="9"/>
            <color indexed="81"/>
            <rFont val="Tahoma"/>
            <family val="2"/>
          </rPr>
          <t xml:space="preserve">
LUNCH BREAK/BREAK 1HOUR</t>
        </r>
      </text>
    </comment>
    <comment ref="V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HR-ASSISTANT:</t>
        </r>
        <r>
          <rPr>
            <sz val="9"/>
            <color indexed="81"/>
            <rFont val="Tahoma"/>
            <family val="2"/>
          </rPr>
          <t xml:space="preserve">
LUNCH BREAK/BREAK 1HOUR</t>
        </r>
      </text>
    </comment>
    <comment ref="AD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HR-ASSISTANT:</t>
        </r>
        <r>
          <rPr>
            <sz val="9"/>
            <color indexed="81"/>
            <rFont val="Tahoma"/>
            <family val="2"/>
          </rPr>
          <t xml:space="preserve">
LUNCH BREAK/BREAK 1HOUR</t>
        </r>
      </text>
    </comment>
    <comment ref="AL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HR-ASSISTANT:</t>
        </r>
        <r>
          <rPr>
            <sz val="9"/>
            <color indexed="81"/>
            <rFont val="Tahoma"/>
            <family val="2"/>
          </rPr>
          <t xml:space="preserve">
LUNCH BREAK/BREAK 1HOUR</t>
        </r>
      </text>
    </comment>
    <comment ref="AT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HR-ASSISTANT:</t>
        </r>
        <r>
          <rPr>
            <sz val="9"/>
            <color indexed="81"/>
            <rFont val="Tahoma"/>
            <family val="2"/>
          </rPr>
          <t xml:space="preserve">
LUNCH BREAK/BREAK 1HOUR</t>
        </r>
      </text>
    </comment>
    <comment ref="BB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HR-ASSISTANT:</t>
        </r>
        <r>
          <rPr>
            <sz val="9"/>
            <color indexed="81"/>
            <rFont val="Tahoma"/>
            <family val="2"/>
          </rPr>
          <t xml:space="preserve">
LUNCH BREAK/BREAK 1HOUR</t>
        </r>
      </text>
    </comment>
    <comment ref="F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HR-ASSISTANT:</t>
        </r>
        <r>
          <rPr>
            <sz val="9"/>
            <color indexed="81"/>
            <rFont val="Tahoma"/>
            <family val="2"/>
          </rPr>
          <t xml:space="preserve">
0.50 if 30 mins lang ang break
1.00 if 1hour ang break
</t>
        </r>
      </text>
    </comment>
  </commentList>
</comments>
</file>

<file path=xl/sharedStrings.xml><?xml version="1.0" encoding="utf-8"?>
<sst xmlns="http://schemas.openxmlformats.org/spreadsheetml/2006/main" count="117" uniqueCount="57">
  <si>
    <t>No.</t>
  </si>
  <si>
    <t>Employee Name</t>
  </si>
  <si>
    <t xml:space="preserve">Time In </t>
  </si>
  <si>
    <t>Time Out</t>
  </si>
  <si>
    <t>Break Time</t>
  </si>
  <si>
    <t>Overtime</t>
  </si>
  <si>
    <t>Basic Hrs</t>
  </si>
  <si>
    <t>OT Hrs</t>
  </si>
  <si>
    <t>Period :</t>
  </si>
  <si>
    <t>Prepared by:</t>
  </si>
  <si>
    <t>ROJON PHARMACY CORPORATION</t>
  </si>
  <si>
    <t>OT Remarks</t>
  </si>
  <si>
    <t>Basic HRs</t>
  </si>
  <si>
    <t>Position</t>
  </si>
  <si>
    <t>Clerk</t>
  </si>
  <si>
    <t>Branch: Gensan Main Branch</t>
  </si>
  <si>
    <t>Branch Manager</t>
  </si>
  <si>
    <t>OIC</t>
  </si>
  <si>
    <t>Pharmacist</t>
  </si>
  <si>
    <t xml:space="preserve">Weekly Schedule </t>
  </si>
  <si>
    <t>UHAW</t>
  </si>
  <si>
    <t>NIÑO G. RULL</t>
  </si>
  <si>
    <t>JAN REY M. LUNGAYAO</t>
  </si>
  <si>
    <t xml:space="preserve">TANAID, JONATHAN </t>
  </si>
  <si>
    <t xml:space="preserve">SAURE, MIKO JAY </t>
  </si>
  <si>
    <t>VILLAR, AICA MAE</t>
  </si>
  <si>
    <t>ALOG, JOHN LOUIE P.</t>
  </si>
  <si>
    <t>CINCO, JEANECEL</t>
  </si>
  <si>
    <t>SIMOGAN, RYAN</t>
  </si>
  <si>
    <t>PACOT, CHARES JOY</t>
  </si>
  <si>
    <t>BOOC, ANGELICA A.</t>
  </si>
  <si>
    <t>RULL, NIÑO G.</t>
  </si>
  <si>
    <t>CARIAGA, ELVIE L.</t>
  </si>
  <si>
    <t>TORIO, FREDDERICK JOHN A.</t>
  </si>
  <si>
    <t>ALINTAJAN, AFRIL LYN A.</t>
  </si>
  <si>
    <t>MANUEL, CRIS LAURENCE J.</t>
  </si>
  <si>
    <t>KIMBERLY MONDEJAR</t>
  </si>
  <si>
    <t>KRYSTHAILE KAYE ZAMORA</t>
  </si>
  <si>
    <t>MARK RYAN QUIOBE</t>
  </si>
  <si>
    <t>PRINCE LENARD P. MADERA</t>
  </si>
  <si>
    <t>GWEN B. DIGAO</t>
  </si>
  <si>
    <t>KAYNE CHED CASTRO</t>
  </si>
  <si>
    <t>MARY JOY DELFIN</t>
  </si>
  <si>
    <t>VENICE EVE CATUBIG</t>
  </si>
  <si>
    <t>Pharmacist CAL 3</t>
  </si>
  <si>
    <t>CLERK CAL 3</t>
  </si>
  <si>
    <t>O.I.C CAL 3</t>
  </si>
  <si>
    <t>JUNE 25 TO JULY  1, 2026</t>
  </si>
  <si>
    <t>semi</t>
  </si>
  <si>
    <t>monthly</t>
  </si>
  <si>
    <t>year</t>
  </si>
  <si>
    <t>day</t>
  </si>
  <si>
    <t>hr</t>
  </si>
  <si>
    <t>min</t>
  </si>
  <si>
    <t>present(days)</t>
  </si>
  <si>
    <t>absent (days)</t>
  </si>
  <si>
    <t>late(min)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</si>
</sst>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800]dddd\,\ mmmm\ dd\,\ yyyy"/>
    <numFmt numFmtId="165" formatCode="[$-409]h:mm\ AM/PM;@"/>
  </numFmts>
  <fonts count="14">
    <font>
      <sz val="11"/>
      <color theme="1"/>
      <name val="Arial"/>
      <charset val="134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43" fontId="3" fillId="0" borderId="0" xfId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43" fontId="3" fillId="0" borderId="2" xfId="1" applyFont="1" applyFill="1" applyBorder="1" applyAlignment="1">
      <alignment horizontal="center"/>
    </xf>
    <xf numFmtId="43" fontId="3" fillId="0" borderId="5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/>
    <xf numFmtId="165" fontId="7" fillId="0" borderId="0" xfId="0" applyNumberFormat="1" applyFont="1" applyAlignment="1">
      <alignment horizontal="center"/>
    </xf>
    <xf numFmtId="43" fontId="7" fillId="0" borderId="0" xfId="1" applyFont="1" applyFill="1" applyAlignment="1">
      <alignment horizontal="center"/>
    </xf>
    <xf numFmtId="0" fontId="6" fillId="0" borderId="0" xfId="0" applyFont="1"/>
    <xf numFmtId="0" fontId="4" fillId="0" borderId="0" xfId="0" applyFont="1" applyAlignment="1">
      <alignment vertical="center"/>
    </xf>
    <xf numFmtId="43" fontId="2" fillId="0" borderId="2" xfId="1" applyFont="1" applyFill="1" applyBorder="1" applyAlignment="1">
      <alignment horizontal="center" vertical="center" wrapText="1"/>
    </xf>
    <xf numFmtId="43" fontId="2" fillId="0" borderId="5" xfId="1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/>
    </xf>
    <xf numFmtId="43" fontId="8" fillId="0" borderId="5" xfId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5" fontId="2" fillId="0" borderId="2" xfId="0" applyNumberFormat="1" applyFont="1" applyBorder="1" applyAlignment="1">
      <alignment horizontal="center" vertical="center"/>
    </xf>
    <xf numFmtId="43" fontId="2" fillId="0" borderId="8" xfId="1" applyFont="1" applyFill="1" applyBorder="1" applyAlignment="1">
      <alignment horizontal="center" vertical="center" wrapText="1"/>
    </xf>
    <xf numFmtId="43" fontId="3" fillId="0" borderId="8" xfId="1" applyFont="1" applyFill="1" applyBorder="1" applyAlignment="1">
      <alignment horizontal="center"/>
    </xf>
    <xf numFmtId="43" fontId="8" fillId="0" borderId="8" xfId="1" applyFont="1" applyFill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43" fontId="5" fillId="0" borderId="2" xfId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165" fontId="3" fillId="3" borderId="2" xfId="0" applyNumberFormat="1" applyFont="1" applyFill="1" applyBorder="1" applyAlignment="1">
      <alignment horizontal="center"/>
    </xf>
    <xf numFmtId="165" fontId="3" fillId="4" borderId="2" xfId="0" applyNumberFormat="1" applyFont="1" applyFill="1" applyBorder="1" applyAlignment="1">
      <alignment horizontal="center"/>
    </xf>
    <xf numFmtId="43" fontId="3" fillId="4" borderId="2" xfId="1" applyFont="1" applyFill="1" applyBorder="1" applyAlignment="1">
      <alignment horizontal="center"/>
    </xf>
    <xf numFmtId="43" fontId="0" fillId="0" borderId="0" xfId="1" applyFont="1"/>
    <xf numFmtId="43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CCFF"/>
      <color rgb="FF33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36"/>
  <sheetViews>
    <sheetView zoomScale="90" zoomScaleNormal="90" zoomScaleSheetLayoutView="10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AZ31" sqref="AZ31"/>
    </sheetView>
  </sheetViews>
  <sheetFormatPr defaultColWidth="8.25" defaultRowHeight="25.5" customHeight="1"/>
  <cols>
    <col min="1" max="1" width="8.125" style="4" customWidth="1"/>
    <col min="2" max="2" width="21.625" style="1" customWidth="1"/>
    <col min="3" max="3" width="13.5" style="1" customWidth="1"/>
    <col min="4" max="4" width="7.375" style="2" customWidth="1"/>
    <col min="5" max="5" width="8" style="2" bestFit="1" customWidth="1"/>
    <col min="6" max="6" width="7.375" style="3" customWidth="1"/>
    <col min="7" max="8" width="7.375" style="2" customWidth="1"/>
    <col min="9" max="9" width="7.375" style="3" customWidth="1"/>
    <col min="10" max="10" width="4.25" style="3" customWidth="1"/>
    <col min="11" max="11" width="8.25" style="3" customWidth="1"/>
    <col min="12" max="16" width="7.375" style="2" customWidth="1"/>
    <col min="17" max="17" width="8.875" style="3" customWidth="1"/>
    <col min="18" max="18" width="6.25" style="3" customWidth="1"/>
    <col min="19" max="19" width="7.375" style="3" customWidth="1"/>
    <col min="20" max="24" width="7.375" style="2" customWidth="1"/>
    <col min="25" max="25" width="7.375" style="3" customWidth="1"/>
    <col min="26" max="26" width="8" style="3" customWidth="1"/>
    <col min="27" max="27" width="7.375" style="3" customWidth="1"/>
    <col min="28" max="32" width="7.375" style="2" customWidth="1"/>
    <col min="33" max="33" width="7.375" style="3" customWidth="1"/>
    <col min="34" max="34" width="6.5" style="3" customWidth="1"/>
    <col min="35" max="35" width="7.375" style="3" customWidth="1"/>
    <col min="36" max="40" width="7.375" style="2" customWidth="1"/>
    <col min="41" max="41" width="7.375" style="3" customWidth="1"/>
    <col min="42" max="42" width="4.375" style="3" customWidth="1"/>
    <col min="43" max="43" width="7.375" style="3" customWidth="1"/>
    <col min="44" max="45" width="7.375" style="2" customWidth="1"/>
    <col min="46" max="46" width="7.375" style="3" customWidth="1"/>
    <col min="47" max="48" width="7.375" style="2" customWidth="1"/>
    <col min="49" max="49" width="7.375" style="3" customWidth="1"/>
    <col min="50" max="50" width="6.375" style="3" customWidth="1"/>
    <col min="51" max="51" width="7.375" style="3" customWidth="1"/>
    <col min="52" max="53" width="7.375" style="2" customWidth="1"/>
    <col min="54" max="54" width="7.375" style="3" customWidth="1"/>
    <col min="55" max="56" width="7.375" style="2" customWidth="1"/>
    <col min="57" max="57" width="7.375" style="3" customWidth="1"/>
    <col min="58" max="58" width="4.875" style="3" customWidth="1"/>
    <col min="59" max="59" width="7.375" style="3" customWidth="1"/>
    <col min="60" max="16384" width="8.25" style="1"/>
  </cols>
  <sheetData>
    <row r="1" spans="1:59" s="12" customFormat="1" ht="24.75" hidden="1" customHeight="1">
      <c r="A1" s="11" t="s">
        <v>10</v>
      </c>
      <c r="D1" s="13"/>
      <c r="E1" s="13"/>
      <c r="F1" s="14"/>
      <c r="G1" s="13"/>
      <c r="H1" s="13"/>
      <c r="I1" s="14"/>
      <c r="J1" s="14"/>
      <c r="K1" s="14"/>
      <c r="L1" s="13"/>
      <c r="M1" s="13"/>
      <c r="N1" s="13"/>
      <c r="O1" s="13"/>
      <c r="P1" s="13"/>
      <c r="Q1" s="14"/>
      <c r="R1" s="14"/>
      <c r="S1" s="14"/>
      <c r="T1" s="13"/>
      <c r="U1" s="13"/>
      <c r="V1" s="13"/>
      <c r="W1" s="13"/>
      <c r="X1" s="13"/>
      <c r="Y1" s="14"/>
      <c r="Z1" s="14"/>
      <c r="AA1" s="14"/>
      <c r="AB1" s="13"/>
      <c r="AC1" s="13"/>
      <c r="AD1" s="13"/>
      <c r="AE1" s="13"/>
      <c r="AF1" s="13"/>
      <c r="AG1" s="14"/>
      <c r="AH1" s="14"/>
      <c r="AI1" s="14"/>
      <c r="AJ1" s="13"/>
      <c r="AK1" s="13"/>
      <c r="AL1" s="13"/>
      <c r="AM1" s="13"/>
      <c r="AN1" s="13"/>
      <c r="AO1" s="14"/>
      <c r="AP1" s="14"/>
      <c r="AQ1" s="14"/>
      <c r="AR1" s="13"/>
      <c r="AS1" s="13"/>
      <c r="AT1" s="14"/>
      <c r="AU1" s="13"/>
      <c r="AV1" s="13"/>
      <c r="AW1" s="14"/>
      <c r="AX1" s="14"/>
      <c r="AY1" s="14"/>
      <c r="AZ1" s="13"/>
      <c r="BA1" s="13"/>
      <c r="BB1" s="14"/>
      <c r="BC1" s="13"/>
      <c r="BD1" s="13"/>
      <c r="BE1" s="14"/>
      <c r="BF1" s="14"/>
      <c r="BG1" s="14"/>
    </row>
    <row r="2" spans="1:59" s="12" customFormat="1" ht="15" hidden="1" customHeight="1">
      <c r="A2" s="11" t="s">
        <v>19</v>
      </c>
      <c r="D2" s="13"/>
      <c r="E2" s="13"/>
      <c r="F2" s="14"/>
      <c r="G2" s="13"/>
      <c r="H2" s="13"/>
      <c r="I2" s="14"/>
      <c r="J2" s="14"/>
      <c r="K2" s="14"/>
      <c r="L2" s="13"/>
      <c r="M2" s="13"/>
      <c r="N2" s="13"/>
      <c r="O2" s="13"/>
      <c r="P2" s="13"/>
      <c r="Q2" s="14"/>
      <c r="R2" s="14"/>
      <c r="S2" s="14"/>
      <c r="T2" s="13"/>
      <c r="U2" s="13"/>
      <c r="V2" s="13"/>
      <c r="W2" s="13"/>
      <c r="X2" s="13"/>
      <c r="Y2" s="14"/>
      <c r="Z2" s="14"/>
      <c r="AA2" s="14"/>
      <c r="AB2" s="13"/>
      <c r="AC2" s="13"/>
      <c r="AD2" s="13"/>
      <c r="AE2" s="13"/>
      <c r="AF2" s="13"/>
      <c r="AG2" s="14"/>
      <c r="AH2" s="14"/>
      <c r="AI2" s="14"/>
      <c r="AJ2" s="13"/>
      <c r="AK2" s="13"/>
      <c r="AL2" s="13"/>
      <c r="AM2" s="13"/>
      <c r="AN2" s="13"/>
      <c r="AO2" s="14"/>
      <c r="AP2" s="14"/>
      <c r="AQ2" s="14"/>
      <c r="AR2" s="13"/>
      <c r="AS2" s="13"/>
      <c r="AT2" s="14"/>
      <c r="AU2" s="13"/>
      <c r="AV2" s="13"/>
      <c r="AW2" s="14"/>
      <c r="AX2" s="14"/>
      <c r="AY2" s="14"/>
      <c r="AZ2" s="13"/>
      <c r="BA2" s="13"/>
      <c r="BB2" s="14"/>
      <c r="BC2" s="13"/>
      <c r="BD2" s="13"/>
      <c r="BE2" s="14"/>
      <c r="BF2" s="14"/>
      <c r="BG2" s="14"/>
    </row>
    <row r="3" spans="1:59" s="12" customFormat="1" ht="54" customHeight="1">
      <c r="A3" s="11" t="s">
        <v>15</v>
      </c>
      <c r="B3" s="15" t="s">
        <v>20</v>
      </c>
      <c r="C3" s="15"/>
      <c r="D3" s="13"/>
      <c r="E3" s="13"/>
      <c r="F3" s="14"/>
      <c r="G3" s="13"/>
      <c r="H3" s="13"/>
      <c r="I3" s="14"/>
      <c r="J3" s="14"/>
      <c r="K3" s="14"/>
      <c r="L3" s="13"/>
      <c r="M3" s="13"/>
      <c r="N3" s="13"/>
      <c r="O3" s="13"/>
      <c r="P3" s="13"/>
      <c r="Q3" s="14"/>
      <c r="R3" s="14"/>
      <c r="S3" s="14"/>
      <c r="T3" s="13"/>
      <c r="U3" s="13"/>
      <c r="V3" s="13"/>
      <c r="W3" s="13"/>
      <c r="X3" s="13"/>
      <c r="Y3" s="14"/>
      <c r="Z3" s="14"/>
      <c r="AA3" s="14"/>
      <c r="AB3" s="13"/>
      <c r="AC3" s="13"/>
      <c r="AD3" s="13"/>
      <c r="AE3" s="13"/>
      <c r="AF3" s="13"/>
      <c r="AG3" s="14"/>
      <c r="AH3" s="14"/>
      <c r="AI3" s="14"/>
      <c r="AJ3" s="13"/>
      <c r="AK3" s="13"/>
      <c r="AL3" s="13"/>
      <c r="AM3" s="13"/>
      <c r="AN3" s="13"/>
      <c r="AO3" s="14"/>
      <c r="AP3" s="14"/>
      <c r="AQ3" s="14"/>
      <c r="AR3" s="13"/>
      <c r="AS3" s="13"/>
      <c r="AT3" s="14"/>
      <c r="AU3" s="13"/>
      <c r="AV3" s="13"/>
      <c r="AW3" s="14"/>
      <c r="AX3" s="14"/>
      <c r="AY3" s="14"/>
      <c r="AZ3" s="13"/>
      <c r="BA3" s="13"/>
      <c r="BB3" s="14"/>
      <c r="BC3" s="13"/>
      <c r="BD3" s="13"/>
      <c r="BE3" s="14"/>
      <c r="BF3" s="14"/>
      <c r="BG3" s="14"/>
    </row>
    <row r="4" spans="1:59" s="12" customFormat="1" ht="40.5" customHeight="1" thickBot="1">
      <c r="A4" s="15" t="s">
        <v>8</v>
      </c>
      <c r="B4" s="15"/>
      <c r="C4" s="15" t="s">
        <v>47</v>
      </c>
      <c r="D4" s="13"/>
      <c r="E4" s="13"/>
      <c r="F4" s="14"/>
      <c r="G4" s="13"/>
      <c r="H4" s="13"/>
      <c r="I4" s="14"/>
      <c r="J4" s="14"/>
      <c r="K4" s="14"/>
      <c r="L4" s="13"/>
      <c r="M4" s="13"/>
      <c r="N4" s="13"/>
      <c r="O4" s="13"/>
      <c r="P4" s="13"/>
      <c r="Q4" s="14"/>
      <c r="R4" s="14"/>
      <c r="S4" s="14"/>
      <c r="T4" s="13"/>
      <c r="U4" s="13"/>
      <c r="V4" s="13"/>
      <c r="W4" s="13"/>
      <c r="X4" s="13"/>
      <c r="Y4" s="14"/>
      <c r="Z4" s="14"/>
      <c r="AA4" s="14"/>
      <c r="AB4" s="13"/>
      <c r="AC4" s="13"/>
      <c r="AD4" s="13"/>
      <c r="AE4" s="13"/>
      <c r="AF4" s="13"/>
      <c r="AG4" s="14"/>
      <c r="AH4" s="14"/>
      <c r="AI4" s="14"/>
      <c r="AJ4" s="13"/>
      <c r="AK4" s="13"/>
      <c r="AL4" s="13"/>
      <c r="AM4" s="13"/>
      <c r="AN4" s="13"/>
      <c r="AO4" s="14"/>
      <c r="AP4" s="14"/>
      <c r="AQ4" s="14"/>
      <c r="AR4" s="13"/>
      <c r="AS4" s="13"/>
      <c r="AT4" s="14"/>
      <c r="AU4" s="13"/>
      <c r="AV4" s="13"/>
      <c r="AW4" s="14"/>
      <c r="AX4" s="14"/>
      <c r="AY4" s="14"/>
      <c r="AZ4" s="13"/>
      <c r="BA4" s="13"/>
      <c r="BB4" s="14"/>
      <c r="BC4" s="13"/>
      <c r="BD4" s="13"/>
      <c r="BE4" s="14"/>
      <c r="BF4" s="14"/>
      <c r="BG4" s="14"/>
    </row>
    <row r="5" spans="1:59" s="16" customFormat="1" ht="18" customHeight="1">
      <c r="A5" s="39" t="s">
        <v>0</v>
      </c>
      <c r="B5" s="46" t="s">
        <v>1</v>
      </c>
      <c r="C5" s="48" t="s">
        <v>13</v>
      </c>
      <c r="D5" s="41">
        <v>46198</v>
      </c>
      <c r="E5" s="42"/>
      <c r="F5" s="42"/>
      <c r="G5" s="42"/>
      <c r="H5" s="42"/>
      <c r="I5" s="42"/>
      <c r="J5" s="42"/>
      <c r="K5" s="43"/>
      <c r="L5" s="41">
        <v>46199</v>
      </c>
      <c r="M5" s="42"/>
      <c r="N5" s="42"/>
      <c r="O5" s="42"/>
      <c r="P5" s="42"/>
      <c r="Q5" s="42"/>
      <c r="R5" s="42"/>
      <c r="S5" s="43"/>
      <c r="T5" s="41">
        <v>46200</v>
      </c>
      <c r="U5" s="42"/>
      <c r="V5" s="42"/>
      <c r="W5" s="42"/>
      <c r="X5" s="42"/>
      <c r="Y5" s="42"/>
      <c r="Z5" s="42"/>
      <c r="AA5" s="43"/>
      <c r="AB5" s="41">
        <v>46201</v>
      </c>
      <c r="AC5" s="42"/>
      <c r="AD5" s="42"/>
      <c r="AE5" s="42"/>
      <c r="AF5" s="42"/>
      <c r="AG5" s="42"/>
      <c r="AH5" s="42"/>
      <c r="AI5" s="43"/>
      <c r="AJ5" s="41">
        <v>46202</v>
      </c>
      <c r="AK5" s="42"/>
      <c r="AL5" s="42"/>
      <c r="AM5" s="42"/>
      <c r="AN5" s="42"/>
      <c r="AO5" s="42"/>
      <c r="AP5" s="42"/>
      <c r="AQ5" s="43"/>
      <c r="AR5" s="41">
        <v>46203</v>
      </c>
      <c r="AS5" s="42"/>
      <c r="AT5" s="42"/>
      <c r="AU5" s="42"/>
      <c r="AV5" s="42"/>
      <c r="AW5" s="42"/>
      <c r="AX5" s="42"/>
      <c r="AY5" s="43"/>
      <c r="AZ5" s="41">
        <v>46204</v>
      </c>
      <c r="BA5" s="42"/>
      <c r="BB5" s="42"/>
      <c r="BC5" s="42"/>
      <c r="BD5" s="42"/>
      <c r="BE5" s="42"/>
      <c r="BF5" s="42"/>
      <c r="BG5" s="43"/>
    </row>
    <row r="6" spans="1:59" s="16" customFormat="1" ht="24" customHeight="1">
      <c r="A6" s="40"/>
      <c r="B6" s="47"/>
      <c r="C6" s="49"/>
      <c r="D6" s="19"/>
      <c r="E6" s="23" t="s">
        <v>3</v>
      </c>
      <c r="F6" s="17" t="s">
        <v>4</v>
      </c>
      <c r="G6" s="44" t="s">
        <v>5</v>
      </c>
      <c r="H6" s="45"/>
      <c r="I6" s="17" t="s">
        <v>12</v>
      </c>
      <c r="J6" s="17" t="s">
        <v>11</v>
      </c>
      <c r="K6" s="18" t="s">
        <v>7</v>
      </c>
      <c r="L6" s="19" t="s">
        <v>2</v>
      </c>
      <c r="M6" s="23" t="s">
        <v>3</v>
      </c>
      <c r="N6" s="17" t="s">
        <v>4</v>
      </c>
      <c r="O6" s="44" t="s">
        <v>5</v>
      </c>
      <c r="P6" s="45"/>
      <c r="Q6" s="17" t="s">
        <v>6</v>
      </c>
      <c r="R6" s="17" t="s">
        <v>11</v>
      </c>
      <c r="S6" s="18" t="s">
        <v>7</v>
      </c>
      <c r="T6" s="19" t="s">
        <v>2</v>
      </c>
      <c r="U6" s="23" t="s">
        <v>3</v>
      </c>
      <c r="V6" s="17" t="s">
        <v>4</v>
      </c>
      <c r="W6" s="44" t="s">
        <v>5</v>
      </c>
      <c r="X6" s="45"/>
      <c r="Y6" s="17" t="s">
        <v>6</v>
      </c>
      <c r="Z6" s="17" t="s">
        <v>11</v>
      </c>
      <c r="AA6" s="18" t="s">
        <v>7</v>
      </c>
      <c r="AB6" s="19" t="s">
        <v>2</v>
      </c>
      <c r="AC6" s="23" t="s">
        <v>3</v>
      </c>
      <c r="AD6" s="17" t="s">
        <v>4</v>
      </c>
      <c r="AE6" s="44" t="s">
        <v>5</v>
      </c>
      <c r="AF6" s="45"/>
      <c r="AG6" s="17" t="s">
        <v>6</v>
      </c>
      <c r="AH6" s="17" t="s">
        <v>11</v>
      </c>
      <c r="AI6" s="24" t="s">
        <v>7</v>
      </c>
      <c r="AJ6" s="19" t="s">
        <v>2</v>
      </c>
      <c r="AK6" s="23" t="s">
        <v>3</v>
      </c>
      <c r="AL6" s="17" t="s">
        <v>4</v>
      </c>
      <c r="AM6" s="44" t="s">
        <v>5</v>
      </c>
      <c r="AN6" s="45"/>
      <c r="AO6" s="17" t="s">
        <v>6</v>
      </c>
      <c r="AP6" s="17" t="s">
        <v>11</v>
      </c>
      <c r="AQ6" s="18" t="s">
        <v>7</v>
      </c>
      <c r="AR6" s="19" t="s">
        <v>2</v>
      </c>
      <c r="AS6" s="23" t="s">
        <v>3</v>
      </c>
      <c r="AT6" s="17" t="s">
        <v>4</v>
      </c>
      <c r="AU6" s="44" t="s">
        <v>5</v>
      </c>
      <c r="AV6" s="45"/>
      <c r="AW6" s="17" t="s">
        <v>6</v>
      </c>
      <c r="AX6" s="17" t="s">
        <v>11</v>
      </c>
      <c r="AY6" s="18" t="s">
        <v>7</v>
      </c>
      <c r="AZ6" s="19" t="s">
        <v>2</v>
      </c>
      <c r="BA6" s="23" t="s">
        <v>3</v>
      </c>
      <c r="BB6" s="17" t="s">
        <v>4</v>
      </c>
      <c r="BC6" s="44" t="s">
        <v>5</v>
      </c>
      <c r="BD6" s="45"/>
      <c r="BE6" s="17" t="s">
        <v>6</v>
      </c>
      <c r="BF6" s="17" t="s">
        <v>11</v>
      </c>
      <c r="BG6" s="24" t="s">
        <v>7</v>
      </c>
    </row>
    <row r="7" spans="1:59" ht="25.5" customHeight="1">
      <c r="A7" s="6">
        <v>1</v>
      </c>
      <c r="B7" s="30" t="s">
        <v>31</v>
      </c>
      <c r="C7" s="29" t="s">
        <v>16</v>
      </c>
      <c r="D7" s="8">
        <v>46198.645833333336</v>
      </c>
      <c r="E7" s="8">
        <v>46199</v>
      </c>
      <c r="F7" s="9">
        <v>0.5</v>
      </c>
      <c r="G7" s="27"/>
      <c r="H7" s="27"/>
      <c r="I7" s="9">
        <f>SUM(E7-D7)*24-F7</f>
        <v>7.9999999999417923</v>
      </c>
      <c r="J7" s="28"/>
      <c r="K7" s="10">
        <f t="shared" ref="K7:K22" si="0">SUM(H7-G7)*24</f>
        <v>0</v>
      </c>
      <c r="L7" s="8">
        <v>46199.645833333336</v>
      </c>
      <c r="M7" s="8">
        <v>46200</v>
      </c>
      <c r="N7" s="9">
        <v>0.5</v>
      </c>
      <c r="O7" s="27"/>
      <c r="P7" s="27"/>
      <c r="Q7" s="9">
        <f t="shared" ref="Q7:Q30" si="1">SUM(M7-L7)*24-N7</f>
        <v>7.9999999999417923</v>
      </c>
      <c r="R7" s="28"/>
      <c r="S7" s="10">
        <f t="shared" ref="S7:S22" si="2">SUM(P7-O7)*24</f>
        <v>0</v>
      </c>
      <c r="T7" s="8">
        <v>46200.645833333336</v>
      </c>
      <c r="U7" s="8">
        <v>46201</v>
      </c>
      <c r="V7" s="9">
        <v>0.5</v>
      </c>
      <c r="W7" s="8"/>
      <c r="X7" s="8"/>
      <c r="Y7" s="9">
        <f t="shared" ref="Y7:Y30" si="3">SUM(U7-T7)*24-V7</f>
        <v>7.9999999999417923</v>
      </c>
      <c r="Z7" s="28"/>
      <c r="AA7" s="10">
        <f t="shared" ref="AA7:AA22" si="4">SUM(X7-W7)*24</f>
        <v>0</v>
      </c>
      <c r="AB7" s="8">
        <v>46201.645833333336</v>
      </c>
      <c r="AC7" s="8">
        <v>46202</v>
      </c>
      <c r="AD7" s="34">
        <v>0.5</v>
      </c>
      <c r="AE7" s="8"/>
      <c r="AF7" s="8"/>
      <c r="AG7" s="9">
        <f t="shared" ref="AG7:AG30" si="5">SUM(AC7-AB7)*24-AD7</f>
        <v>7.9999999999417923</v>
      </c>
      <c r="AH7" s="28"/>
      <c r="AI7" s="26">
        <f t="shared" ref="AI7:AI20" si="6">SUM(AF7-AE7)*24</f>
        <v>0</v>
      </c>
      <c r="AJ7" s="8">
        <v>46202.645833333336</v>
      </c>
      <c r="AK7" s="8">
        <v>46203</v>
      </c>
      <c r="AL7" s="34">
        <v>0.5</v>
      </c>
      <c r="AM7" s="8"/>
      <c r="AN7" s="8"/>
      <c r="AO7" s="9">
        <f t="shared" ref="AO7:AO30" si="7">SUM(AK7-AJ7)*24-AL7</f>
        <v>7.9999999999417923</v>
      </c>
      <c r="AP7" s="28"/>
      <c r="AQ7" s="20">
        <f t="shared" ref="AQ7:AQ20" si="8">SUM(AN7-AM7)*24</f>
        <v>0</v>
      </c>
      <c r="AR7" s="8">
        <v>46203.645833333336</v>
      </c>
      <c r="AS7" s="8">
        <v>46204</v>
      </c>
      <c r="AT7" s="34">
        <v>0.5</v>
      </c>
      <c r="AU7" s="8"/>
      <c r="AV7" s="8"/>
      <c r="AW7" s="9">
        <f t="shared" ref="AW7:AW21" si="9">SUM(AS7-AR7)*24-AT7</f>
        <v>7.9999999999417923</v>
      </c>
      <c r="AX7" s="28"/>
      <c r="AY7" s="10">
        <f t="shared" ref="AY7:AY20" si="10">SUM(AV7-AU7)*24</f>
        <v>0</v>
      </c>
      <c r="AZ7" s="32"/>
      <c r="BA7" s="32"/>
      <c r="BB7" s="34"/>
      <c r="BC7" s="8"/>
      <c r="BD7" s="8"/>
      <c r="BE7" s="9">
        <f t="shared" ref="BE7:BE30" si="11">SUM(BA7-AZ7)*24-BB7</f>
        <v>0</v>
      </c>
      <c r="BF7" s="28"/>
      <c r="BG7" s="25">
        <f t="shared" ref="BG7:BG20" si="12">SUM(BD7-BC7)*24</f>
        <v>0</v>
      </c>
    </row>
    <row r="8" spans="1:59" ht="25.5" hidden="1" customHeight="1">
      <c r="A8" s="6">
        <v>2</v>
      </c>
      <c r="B8" s="30" t="s">
        <v>30</v>
      </c>
      <c r="C8" s="29" t="s">
        <v>17</v>
      </c>
      <c r="D8" s="32"/>
      <c r="E8" s="32"/>
      <c r="F8" s="9"/>
      <c r="G8" s="8"/>
      <c r="H8" s="8"/>
      <c r="I8" s="9">
        <f t="shared" ref="I8:I30" si="13">SUM(E8-D8)*24-F8</f>
        <v>0</v>
      </c>
      <c r="J8" s="9"/>
      <c r="K8" s="10">
        <f t="shared" si="0"/>
        <v>0</v>
      </c>
      <c r="L8" s="32"/>
      <c r="M8" s="32"/>
      <c r="N8" s="9"/>
      <c r="O8" s="27"/>
      <c r="P8" s="27"/>
      <c r="Q8" s="9">
        <f t="shared" si="1"/>
        <v>0</v>
      </c>
      <c r="R8" s="9"/>
      <c r="S8" s="10">
        <f t="shared" si="2"/>
        <v>0</v>
      </c>
      <c r="T8" s="32"/>
      <c r="U8" s="32"/>
      <c r="V8" s="9"/>
      <c r="W8" s="8"/>
      <c r="X8" s="8"/>
      <c r="Y8" s="9">
        <f t="shared" si="3"/>
        <v>0</v>
      </c>
      <c r="Z8" s="9"/>
      <c r="AA8" s="10">
        <f t="shared" si="4"/>
        <v>0</v>
      </c>
      <c r="AB8" s="32"/>
      <c r="AC8" s="32"/>
      <c r="AD8" s="34"/>
      <c r="AE8" s="8"/>
      <c r="AF8" s="8"/>
      <c r="AG8" s="9">
        <f t="shared" si="5"/>
        <v>0</v>
      </c>
      <c r="AH8" s="9"/>
      <c r="AI8" s="26">
        <f t="shared" si="6"/>
        <v>0</v>
      </c>
      <c r="AJ8" s="32"/>
      <c r="AK8" s="32"/>
      <c r="AL8" s="34"/>
      <c r="AM8" s="8"/>
      <c r="AN8" s="8"/>
      <c r="AO8" s="9">
        <f t="shared" si="7"/>
        <v>0</v>
      </c>
      <c r="AP8" s="9"/>
      <c r="AQ8" s="20">
        <f t="shared" si="8"/>
        <v>0</v>
      </c>
      <c r="AR8" s="32"/>
      <c r="AS8" s="32"/>
      <c r="AT8" s="34"/>
      <c r="AU8" s="8"/>
      <c r="AV8" s="8"/>
      <c r="AW8" s="9">
        <f t="shared" si="9"/>
        <v>0</v>
      </c>
      <c r="AX8" s="9"/>
      <c r="AY8" s="10">
        <f t="shared" si="10"/>
        <v>0</v>
      </c>
      <c r="AZ8" s="32"/>
      <c r="BA8" s="32"/>
      <c r="BB8" s="34"/>
      <c r="BC8" s="8"/>
      <c r="BD8" s="8"/>
      <c r="BE8" s="9">
        <f t="shared" si="11"/>
        <v>0</v>
      </c>
      <c r="BF8" s="9"/>
      <c r="BG8" s="25">
        <f t="shared" si="12"/>
        <v>0</v>
      </c>
    </row>
    <row r="9" spans="1:59" ht="25.5" customHeight="1">
      <c r="A9" s="6">
        <v>2</v>
      </c>
      <c r="B9" s="30" t="s">
        <v>33</v>
      </c>
      <c r="C9" s="29" t="s">
        <v>17</v>
      </c>
      <c r="D9" s="8">
        <v>46198.3125</v>
      </c>
      <c r="E9" s="8">
        <v>46198.666666666664</v>
      </c>
      <c r="F9" s="9">
        <v>0.5</v>
      </c>
      <c r="G9" s="8"/>
      <c r="H9" s="8"/>
      <c r="I9" s="9">
        <f t="shared" si="13"/>
        <v>7.9999999999417923</v>
      </c>
      <c r="J9" s="9"/>
      <c r="K9" s="10">
        <f t="shared" si="0"/>
        <v>0</v>
      </c>
      <c r="L9" s="32"/>
      <c r="M9" s="32"/>
      <c r="N9" s="9"/>
      <c r="O9" s="8"/>
      <c r="P9" s="8"/>
      <c r="Q9" s="9">
        <f t="shared" si="1"/>
        <v>0</v>
      </c>
      <c r="R9" s="9"/>
      <c r="S9" s="10">
        <f t="shared" si="2"/>
        <v>0</v>
      </c>
      <c r="T9" s="8">
        <v>46200.3125</v>
      </c>
      <c r="U9" s="8">
        <v>46200.666666666664</v>
      </c>
      <c r="V9" s="9">
        <v>0.5</v>
      </c>
      <c r="W9" s="8"/>
      <c r="X9" s="8"/>
      <c r="Y9" s="9">
        <f t="shared" si="3"/>
        <v>7.9999999999417923</v>
      </c>
      <c r="Z9" s="9"/>
      <c r="AA9" s="10">
        <f t="shared" si="4"/>
        <v>0</v>
      </c>
      <c r="AB9" s="8">
        <v>46201.3125</v>
      </c>
      <c r="AC9" s="8">
        <v>46201.666666666664</v>
      </c>
      <c r="AD9" s="34">
        <v>0.5</v>
      </c>
      <c r="AE9" s="8"/>
      <c r="AF9" s="8"/>
      <c r="AG9" s="9">
        <f t="shared" si="5"/>
        <v>7.9999999999417923</v>
      </c>
      <c r="AH9" s="9"/>
      <c r="AI9" s="26">
        <f t="shared" si="6"/>
        <v>0</v>
      </c>
      <c r="AJ9" s="8">
        <v>46202.3125</v>
      </c>
      <c r="AK9" s="8">
        <v>46202.666666666664</v>
      </c>
      <c r="AL9" s="34">
        <v>0.5</v>
      </c>
      <c r="AM9" s="8"/>
      <c r="AN9" s="8"/>
      <c r="AO9" s="9">
        <f t="shared" si="7"/>
        <v>7.9999999999417923</v>
      </c>
      <c r="AP9" s="9"/>
      <c r="AQ9" s="20">
        <f t="shared" si="8"/>
        <v>0</v>
      </c>
      <c r="AR9" s="8">
        <v>46203.3125</v>
      </c>
      <c r="AS9" s="8">
        <v>46203.666666666664</v>
      </c>
      <c r="AT9" s="34">
        <v>0.5</v>
      </c>
      <c r="AU9" s="8"/>
      <c r="AV9" s="8"/>
      <c r="AW9" s="9">
        <f>SUM(AS9-AR9)*24-AT9</f>
        <v>7.9999999999417923</v>
      </c>
      <c r="AX9" s="9"/>
      <c r="AY9" s="10">
        <f t="shared" si="10"/>
        <v>0</v>
      </c>
      <c r="AZ9" s="8">
        <v>46204.3125</v>
      </c>
      <c r="BA9" s="8">
        <v>46204.666666666664</v>
      </c>
      <c r="BB9" s="34">
        <v>0.5</v>
      </c>
      <c r="BC9" s="8"/>
      <c r="BD9" s="8"/>
      <c r="BE9" s="9">
        <f>SUM(BA9-AZ9)*24-BB9</f>
        <v>7.9999999999417923</v>
      </c>
      <c r="BF9" s="9"/>
      <c r="BG9" s="25">
        <f t="shared" si="12"/>
        <v>0</v>
      </c>
    </row>
    <row r="10" spans="1:59" ht="25.5" customHeight="1">
      <c r="A10" s="6">
        <v>3</v>
      </c>
      <c r="B10" s="30" t="s">
        <v>32</v>
      </c>
      <c r="C10" s="29" t="s">
        <v>18</v>
      </c>
      <c r="D10" s="8">
        <v>46198.583333333336</v>
      </c>
      <c r="E10" s="8">
        <v>46198.958333333336</v>
      </c>
      <c r="F10" s="9"/>
      <c r="G10" s="8"/>
      <c r="H10" s="8"/>
      <c r="I10" s="9">
        <f t="shared" si="13"/>
        <v>9</v>
      </c>
      <c r="J10" s="9"/>
      <c r="K10" s="10">
        <f t="shared" si="0"/>
        <v>0</v>
      </c>
      <c r="L10" s="8">
        <v>46199.208333333336</v>
      </c>
      <c r="M10" s="8">
        <v>46199.583333333336</v>
      </c>
      <c r="N10" s="9"/>
      <c r="O10" s="8"/>
      <c r="P10" s="8"/>
      <c r="Q10" s="9">
        <f t="shared" si="1"/>
        <v>9</v>
      </c>
      <c r="R10" s="9"/>
      <c r="S10" s="10">
        <f t="shared" si="2"/>
        <v>0</v>
      </c>
      <c r="T10" s="32"/>
      <c r="U10" s="32"/>
      <c r="V10" s="9"/>
      <c r="W10" s="8"/>
      <c r="X10" s="8"/>
      <c r="Y10" s="9">
        <f t="shared" si="3"/>
        <v>0</v>
      </c>
      <c r="Z10" s="9"/>
      <c r="AA10" s="10">
        <f t="shared" si="4"/>
        <v>0</v>
      </c>
      <c r="AB10" s="32"/>
      <c r="AC10" s="32"/>
      <c r="AD10" s="34"/>
      <c r="AE10" s="8"/>
      <c r="AF10" s="8"/>
      <c r="AG10" s="9">
        <f t="shared" si="5"/>
        <v>0</v>
      </c>
      <c r="AH10" s="9"/>
      <c r="AI10" s="26">
        <f t="shared" si="6"/>
        <v>0</v>
      </c>
      <c r="AJ10" s="8">
        <v>46202.208333333336</v>
      </c>
      <c r="AK10" s="8">
        <v>46202.583333333336</v>
      </c>
      <c r="AL10" s="34"/>
      <c r="AM10" s="8"/>
      <c r="AN10" s="8"/>
      <c r="AO10" s="9">
        <f t="shared" si="7"/>
        <v>9</v>
      </c>
      <c r="AP10" s="9"/>
      <c r="AQ10" s="20">
        <f t="shared" si="8"/>
        <v>0</v>
      </c>
      <c r="AR10" s="8">
        <v>46203.208333333336</v>
      </c>
      <c r="AS10" s="8">
        <v>46203.583333333336</v>
      </c>
      <c r="AT10" s="34"/>
      <c r="AU10" s="8"/>
      <c r="AV10" s="8"/>
      <c r="AW10" s="9">
        <f t="shared" si="9"/>
        <v>9</v>
      </c>
      <c r="AX10" s="9"/>
      <c r="AY10" s="10">
        <f t="shared" si="10"/>
        <v>0</v>
      </c>
      <c r="AZ10" s="8">
        <v>46204.208333333336</v>
      </c>
      <c r="BA10" s="8">
        <v>46204.583333333336</v>
      </c>
      <c r="BB10" s="34"/>
      <c r="BC10" s="8"/>
      <c r="BD10" s="8"/>
      <c r="BE10" s="9">
        <f>SUM(BA10-AZ10)*24-BB10</f>
        <v>9</v>
      </c>
      <c r="BF10" s="9"/>
      <c r="BG10" s="25">
        <f t="shared" si="12"/>
        <v>0</v>
      </c>
    </row>
    <row r="11" spans="1:59" ht="25.5" customHeight="1">
      <c r="A11" s="6"/>
      <c r="B11" s="30" t="s">
        <v>43</v>
      </c>
      <c r="C11" s="29" t="s">
        <v>44</v>
      </c>
      <c r="D11" s="8">
        <v>46198.208333333336</v>
      </c>
      <c r="E11" s="8">
        <v>46198.583333333336</v>
      </c>
      <c r="F11" s="9"/>
      <c r="G11" s="8"/>
      <c r="H11" s="8"/>
      <c r="I11" s="9">
        <f t="shared" si="13"/>
        <v>9</v>
      </c>
      <c r="J11" s="9"/>
      <c r="K11" s="10"/>
      <c r="L11" s="8">
        <v>46199.583333333336</v>
      </c>
      <c r="M11" s="8">
        <v>46199.958333333336</v>
      </c>
      <c r="N11" s="9"/>
      <c r="O11" s="8"/>
      <c r="P11" s="8"/>
      <c r="Q11" s="9">
        <f t="shared" si="1"/>
        <v>9</v>
      </c>
      <c r="R11" s="9"/>
      <c r="S11" s="10"/>
      <c r="T11" s="32"/>
      <c r="U11" s="32"/>
      <c r="V11" s="9"/>
      <c r="W11" s="8"/>
      <c r="X11" s="8"/>
      <c r="Y11" s="9">
        <f t="shared" si="3"/>
        <v>0</v>
      </c>
      <c r="Z11" s="9"/>
      <c r="AA11" s="10"/>
      <c r="AB11" s="32"/>
      <c r="AC11" s="32"/>
      <c r="AD11" s="34"/>
      <c r="AE11" s="8"/>
      <c r="AF11" s="8"/>
      <c r="AG11" s="9">
        <f t="shared" si="5"/>
        <v>0</v>
      </c>
      <c r="AH11" s="9"/>
      <c r="AI11" s="26"/>
      <c r="AJ11" s="8">
        <v>46202.583333333336</v>
      </c>
      <c r="AK11" s="8">
        <v>46202.958333333336</v>
      </c>
      <c r="AL11" s="34"/>
      <c r="AM11" s="8"/>
      <c r="AN11" s="8"/>
      <c r="AO11" s="9">
        <f t="shared" si="7"/>
        <v>9</v>
      </c>
      <c r="AP11" s="9"/>
      <c r="AQ11" s="20"/>
      <c r="AR11" s="8">
        <v>46203.583333333336</v>
      </c>
      <c r="AS11" s="8">
        <v>46203.958333333336</v>
      </c>
      <c r="AT11" s="34"/>
      <c r="AU11" s="8"/>
      <c r="AV11" s="8"/>
      <c r="AW11" s="9">
        <f t="shared" si="9"/>
        <v>9</v>
      </c>
      <c r="AX11" s="9"/>
      <c r="AY11" s="10"/>
      <c r="AZ11" s="8">
        <v>46204.583333333336</v>
      </c>
      <c r="BA11" s="8">
        <v>46204.958333333336</v>
      </c>
      <c r="BB11" s="34"/>
      <c r="BC11" s="8"/>
      <c r="BD11" s="8"/>
      <c r="BE11" s="9">
        <f>SUM(BA11-AZ11)*24-BB11</f>
        <v>9</v>
      </c>
      <c r="BF11" s="9"/>
      <c r="BG11" s="25"/>
    </row>
    <row r="12" spans="1:59" ht="25.5" customHeight="1">
      <c r="A12" s="6">
        <v>4</v>
      </c>
      <c r="B12" s="30" t="s">
        <v>34</v>
      </c>
      <c r="C12" s="29" t="s">
        <v>17</v>
      </c>
      <c r="D12" s="8">
        <v>46198.645833333336</v>
      </c>
      <c r="E12" s="8">
        <v>46199</v>
      </c>
      <c r="F12" s="9">
        <v>0.5</v>
      </c>
      <c r="G12" s="8"/>
      <c r="H12" s="8"/>
      <c r="I12" s="9">
        <f t="shared" si="13"/>
        <v>7.9999999999417923</v>
      </c>
      <c r="J12" s="9"/>
      <c r="K12" s="10">
        <f t="shared" si="0"/>
        <v>0</v>
      </c>
      <c r="L12" s="8">
        <v>46199.3125</v>
      </c>
      <c r="M12" s="8">
        <v>46199.666666666664</v>
      </c>
      <c r="N12" s="9">
        <v>0.5</v>
      </c>
      <c r="O12" s="8"/>
      <c r="P12" s="8"/>
      <c r="Q12" s="9">
        <f t="shared" si="1"/>
        <v>7.9999999999417923</v>
      </c>
      <c r="R12" s="9"/>
      <c r="S12" s="10">
        <f t="shared" si="2"/>
        <v>0</v>
      </c>
      <c r="T12" s="32"/>
      <c r="U12" s="32"/>
      <c r="V12" s="9"/>
      <c r="W12" s="8"/>
      <c r="X12" s="8"/>
      <c r="Y12" s="9">
        <f t="shared" si="3"/>
        <v>0</v>
      </c>
      <c r="Z12" s="9"/>
      <c r="AA12" s="10">
        <f t="shared" si="4"/>
        <v>0</v>
      </c>
      <c r="AB12" s="8">
        <v>46201.645833333336</v>
      </c>
      <c r="AC12" s="8">
        <v>46202</v>
      </c>
      <c r="AD12" s="34">
        <v>0.5</v>
      </c>
      <c r="AE12" s="8"/>
      <c r="AF12" s="8"/>
      <c r="AG12" s="9">
        <f t="shared" si="5"/>
        <v>7.9999999999417923</v>
      </c>
      <c r="AH12" s="9"/>
      <c r="AI12" s="26">
        <f t="shared" si="6"/>
        <v>0</v>
      </c>
      <c r="AJ12" s="8">
        <v>46202.645833333336</v>
      </c>
      <c r="AK12" s="8">
        <v>46203</v>
      </c>
      <c r="AL12" s="34">
        <v>0.5</v>
      </c>
      <c r="AM12" s="8"/>
      <c r="AN12" s="8"/>
      <c r="AO12" s="9">
        <f t="shared" si="7"/>
        <v>7.9999999999417923</v>
      </c>
      <c r="AP12" s="9"/>
      <c r="AQ12" s="20">
        <f t="shared" si="8"/>
        <v>0</v>
      </c>
      <c r="AR12" s="8">
        <v>46203.645833333336</v>
      </c>
      <c r="AS12" s="8">
        <v>46204</v>
      </c>
      <c r="AT12" s="34">
        <v>0.5</v>
      </c>
      <c r="AU12" s="8"/>
      <c r="AV12" s="8"/>
      <c r="AW12" s="9">
        <f t="shared" si="9"/>
        <v>7.9999999999417923</v>
      </c>
      <c r="AX12" s="9"/>
      <c r="AY12" s="10">
        <f t="shared" si="10"/>
        <v>0</v>
      </c>
      <c r="AZ12" s="8">
        <v>46204.645833333336</v>
      </c>
      <c r="BA12" s="8">
        <v>46205</v>
      </c>
      <c r="BB12" s="34">
        <v>0.5</v>
      </c>
      <c r="BC12" s="8"/>
      <c r="BD12" s="8"/>
      <c r="BE12" s="9">
        <f t="shared" si="11"/>
        <v>7.9999999999417923</v>
      </c>
      <c r="BF12" s="9"/>
      <c r="BG12" s="25">
        <f t="shared" si="12"/>
        <v>0</v>
      </c>
    </row>
    <row r="13" spans="1:59" ht="25.5" customHeight="1">
      <c r="A13" s="6">
        <v>5</v>
      </c>
      <c r="B13" s="31" t="s">
        <v>35</v>
      </c>
      <c r="C13" s="29" t="s">
        <v>14</v>
      </c>
      <c r="D13" s="8">
        <v>46198.645833333336</v>
      </c>
      <c r="E13" s="8">
        <v>46199</v>
      </c>
      <c r="F13" s="9">
        <v>0.5</v>
      </c>
      <c r="G13" s="8"/>
      <c r="H13" s="8"/>
      <c r="I13" s="9">
        <f t="shared" si="13"/>
        <v>7.9999999999417923</v>
      </c>
      <c r="J13" s="9"/>
      <c r="K13" s="10">
        <f t="shared" si="0"/>
        <v>0</v>
      </c>
      <c r="L13" s="8">
        <v>46199.3125</v>
      </c>
      <c r="M13" s="8">
        <v>46199.666666666664</v>
      </c>
      <c r="N13" s="9">
        <v>0.5</v>
      </c>
      <c r="O13" s="8"/>
      <c r="P13" s="8"/>
      <c r="Q13" s="9">
        <f t="shared" si="1"/>
        <v>7.9999999999417923</v>
      </c>
      <c r="R13" s="9"/>
      <c r="S13" s="10">
        <f t="shared" si="2"/>
        <v>0</v>
      </c>
      <c r="T13" s="8">
        <v>46200.645833333336</v>
      </c>
      <c r="U13" s="8">
        <v>46201</v>
      </c>
      <c r="V13" s="9">
        <v>0.5</v>
      </c>
      <c r="W13" s="8"/>
      <c r="X13" s="8"/>
      <c r="Y13" s="9">
        <f t="shared" si="3"/>
        <v>7.9999999999417923</v>
      </c>
      <c r="Z13" s="9"/>
      <c r="AA13" s="10">
        <f t="shared" si="4"/>
        <v>0</v>
      </c>
      <c r="AB13" s="8">
        <v>46201.979166666664</v>
      </c>
      <c r="AC13" s="8">
        <v>46202.333333333336</v>
      </c>
      <c r="AD13" s="34">
        <v>0.5</v>
      </c>
      <c r="AE13" s="8"/>
      <c r="AF13" s="8"/>
      <c r="AG13" s="9">
        <f t="shared" si="5"/>
        <v>8.0000000001164153</v>
      </c>
      <c r="AH13" s="9"/>
      <c r="AI13" s="26">
        <f t="shared" si="6"/>
        <v>0</v>
      </c>
      <c r="AJ13" s="8">
        <v>46202.979166666664</v>
      </c>
      <c r="AK13" s="8">
        <v>46203.333333333336</v>
      </c>
      <c r="AL13" s="34">
        <v>0.5</v>
      </c>
      <c r="AM13" s="8"/>
      <c r="AN13" s="8"/>
      <c r="AO13" s="9">
        <f t="shared" si="7"/>
        <v>8.0000000001164153</v>
      </c>
      <c r="AP13" s="9"/>
      <c r="AQ13" s="20">
        <f t="shared" si="8"/>
        <v>0</v>
      </c>
      <c r="AR13" s="8">
        <v>46203.979166666664</v>
      </c>
      <c r="AS13" s="8">
        <v>46204.333333333336</v>
      </c>
      <c r="AT13" s="34">
        <v>0.5</v>
      </c>
      <c r="AU13" s="8"/>
      <c r="AV13" s="8"/>
      <c r="AW13" s="9">
        <f>SUM(AS13-AR13)*24-AT13</f>
        <v>8.0000000001164153</v>
      </c>
      <c r="AX13" s="9"/>
      <c r="AY13" s="10">
        <f t="shared" si="10"/>
        <v>0</v>
      </c>
      <c r="AZ13" s="8">
        <v>46204.979166666664</v>
      </c>
      <c r="BA13" s="8">
        <v>46205.333333333336</v>
      </c>
      <c r="BB13" s="34">
        <v>0.5</v>
      </c>
      <c r="BC13" s="8"/>
      <c r="BD13" s="8"/>
      <c r="BE13" s="9">
        <f t="shared" si="11"/>
        <v>8.0000000001164153</v>
      </c>
      <c r="BF13" s="9"/>
      <c r="BG13" s="25">
        <f t="shared" si="12"/>
        <v>0</v>
      </c>
    </row>
    <row r="14" spans="1:59" ht="25.5" customHeight="1">
      <c r="A14" s="6">
        <v>6</v>
      </c>
      <c r="B14" s="31" t="s">
        <v>29</v>
      </c>
      <c r="C14" s="29" t="s">
        <v>14</v>
      </c>
      <c r="D14" s="8">
        <v>46198.645833333336</v>
      </c>
      <c r="E14" s="8">
        <v>46199</v>
      </c>
      <c r="F14" s="9">
        <v>0.5</v>
      </c>
      <c r="G14" s="8"/>
      <c r="H14" s="8"/>
      <c r="I14" s="9">
        <f t="shared" si="13"/>
        <v>7.9999999999417923</v>
      </c>
      <c r="J14" s="9"/>
      <c r="K14" s="10">
        <f t="shared" si="0"/>
        <v>0</v>
      </c>
      <c r="L14" s="8">
        <v>46199.645833333336</v>
      </c>
      <c r="M14" s="8">
        <v>46200</v>
      </c>
      <c r="N14" s="9">
        <v>0.5</v>
      </c>
      <c r="O14" s="8"/>
      <c r="P14" s="8"/>
      <c r="Q14" s="9">
        <f t="shared" si="1"/>
        <v>7.9999999999417923</v>
      </c>
      <c r="R14" s="9"/>
      <c r="S14" s="10">
        <f t="shared" si="2"/>
        <v>0</v>
      </c>
      <c r="T14" s="8">
        <v>46200.645833333336</v>
      </c>
      <c r="U14" s="8">
        <v>46201</v>
      </c>
      <c r="V14" s="9">
        <v>0.5</v>
      </c>
      <c r="W14" s="8"/>
      <c r="X14" s="8"/>
      <c r="Y14" s="9">
        <f t="shared" si="3"/>
        <v>7.9999999999417923</v>
      </c>
      <c r="Z14" s="9"/>
      <c r="AA14" s="10">
        <f t="shared" si="4"/>
        <v>0</v>
      </c>
      <c r="AB14" s="8">
        <v>46201.645833333336</v>
      </c>
      <c r="AC14" s="8">
        <v>46202</v>
      </c>
      <c r="AD14" s="34">
        <v>0.5</v>
      </c>
      <c r="AE14" s="8"/>
      <c r="AF14" s="8"/>
      <c r="AG14" s="9">
        <f t="shared" si="5"/>
        <v>7.9999999999417923</v>
      </c>
      <c r="AH14" s="9"/>
      <c r="AI14" s="26">
        <f t="shared" si="6"/>
        <v>0</v>
      </c>
      <c r="AJ14" s="32"/>
      <c r="AK14" s="32"/>
      <c r="AL14" s="34"/>
      <c r="AM14" s="8"/>
      <c r="AN14" s="8"/>
      <c r="AO14" s="9">
        <f t="shared" si="7"/>
        <v>0</v>
      </c>
      <c r="AP14" s="9"/>
      <c r="AQ14" s="20">
        <f t="shared" si="8"/>
        <v>0</v>
      </c>
      <c r="AR14" s="8">
        <v>46203.520833333336</v>
      </c>
      <c r="AS14" s="8">
        <v>46203.875</v>
      </c>
      <c r="AT14" s="34">
        <v>0.5</v>
      </c>
      <c r="AU14" s="8"/>
      <c r="AV14" s="8"/>
      <c r="AW14" s="9">
        <f t="shared" si="9"/>
        <v>7.9999999999417923</v>
      </c>
      <c r="AX14" s="9"/>
      <c r="AY14" s="10">
        <f t="shared" si="10"/>
        <v>0</v>
      </c>
      <c r="AZ14" s="8">
        <v>46204.645833333336</v>
      </c>
      <c r="BA14" s="8">
        <v>46205</v>
      </c>
      <c r="BB14" s="34">
        <v>0.5</v>
      </c>
      <c r="BC14" s="8"/>
      <c r="BD14" s="8"/>
      <c r="BE14" s="9">
        <f t="shared" si="11"/>
        <v>7.9999999999417923</v>
      </c>
      <c r="BF14" s="9"/>
      <c r="BG14" s="25">
        <f t="shared" si="12"/>
        <v>0</v>
      </c>
    </row>
    <row r="15" spans="1:59" ht="25.5" customHeight="1">
      <c r="A15" s="6">
        <v>7</v>
      </c>
      <c r="B15" s="31" t="s">
        <v>28</v>
      </c>
      <c r="C15" s="29" t="s">
        <v>14</v>
      </c>
      <c r="D15" s="8">
        <v>46198.645833333336</v>
      </c>
      <c r="E15" s="8">
        <v>46199</v>
      </c>
      <c r="F15" s="9">
        <v>0.5</v>
      </c>
      <c r="G15" s="8"/>
      <c r="H15" s="8"/>
      <c r="I15" s="9">
        <f t="shared" si="13"/>
        <v>7.9999999999417923</v>
      </c>
      <c r="J15" s="9"/>
      <c r="K15" s="10">
        <f t="shared" si="0"/>
        <v>0</v>
      </c>
      <c r="L15" s="8">
        <v>46199.645833333336</v>
      </c>
      <c r="M15" s="8">
        <v>46200</v>
      </c>
      <c r="N15" s="9">
        <v>0.5</v>
      </c>
      <c r="O15" s="8"/>
      <c r="P15" s="8"/>
      <c r="Q15" s="9">
        <f t="shared" si="1"/>
        <v>7.9999999999417923</v>
      </c>
      <c r="R15" s="9"/>
      <c r="S15" s="10">
        <f t="shared" si="2"/>
        <v>0</v>
      </c>
      <c r="T15" s="8">
        <v>46200.645833333336</v>
      </c>
      <c r="U15" s="8">
        <v>46201</v>
      </c>
      <c r="V15" s="9">
        <v>0.5</v>
      </c>
      <c r="W15" s="8"/>
      <c r="X15" s="8"/>
      <c r="Y15" s="9">
        <f t="shared" si="3"/>
        <v>7.9999999999417923</v>
      </c>
      <c r="Z15" s="9"/>
      <c r="AA15" s="10">
        <f t="shared" si="4"/>
        <v>0</v>
      </c>
      <c r="AB15" s="8">
        <v>46201.645833333336</v>
      </c>
      <c r="AC15" s="8">
        <v>46202</v>
      </c>
      <c r="AD15" s="34">
        <v>0.5</v>
      </c>
      <c r="AE15" s="8"/>
      <c r="AF15" s="8"/>
      <c r="AG15" s="9">
        <f t="shared" si="5"/>
        <v>7.9999999999417923</v>
      </c>
      <c r="AH15" s="9"/>
      <c r="AI15" s="26">
        <f t="shared" si="6"/>
        <v>0</v>
      </c>
      <c r="AJ15" s="8">
        <v>46202.3125</v>
      </c>
      <c r="AK15" s="8">
        <v>46202.666666666664</v>
      </c>
      <c r="AL15" s="34">
        <v>0.5</v>
      </c>
      <c r="AM15" s="8"/>
      <c r="AN15" s="8"/>
      <c r="AO15" s="9">
        <f t="shared" si="7"/>
        <v>7.9999999999417923</v>
      </c>
      <c r="AP15" s="9"/>
      <c r="AQ15" s="20">
        <f t="shared" si="8"/>
        <v>0</v>
      </c>
      <c r="AR15" s="32"/>
      <c r="AS15" s="32"/>
      <c r="AT15" s="34"/>
      <c r="AU15" s="8"/>
      <c r="AV15" s="8"/>
      <c r="AW15" s="9">
        <f t="shared" si="9"/>
        <v>0</v>
      </c>
      <c r="AX15" s="9"/>
      <c r="AY15" s="10">
        <f t="shared" si="10"/>
        <v>0</v>
      </c>
      <c r="AZ15" s="8">
        <v>46204.520833333336</v>
      </c>
      <c r="BA15" s="8">
        <v>46204.875</v>
      </c>
      <c r="BB15" s="34">
        <v>0.5</v>
      </c>
      <c r="BC15" s="8"/>
      <c r="BD15" s="8"/>
      <c r="BE15" s="9">
        <f t="shared" si="11"/>
        <v>7.9999999999417923</v>
      </c>
      <c r="BF15" s="9"/>
      <c r="BG15" s="25">
        <f t="shared" si="12"/>
        <v>0</v>
      </c>
    </row>
    <row r="16" spans="1:59" ht="25.5" customHeight="1">
      <c r="A16" s="6">
        <v>8</v>
      </c>
      <c r="B16" s="31" t="s">
        <v>27</v>
      </c>
      <c r="C16" s="29" t="s">
        <v>14</v>
      </c>
      <c r="D16" s="8">
        <v>46198.3125</v>
      </c>
      <c r="E16" s="8">
        <v>46198.666666666664</v>
      </c>
      <c r="F16" s="9">
        <v>0.5</v>
      </c>
      <c r="G16" s="8"/>
      <c r="H16" s="8"/>
      <c r="I16" s="9">
        <f t="shared" si="13"/>
        <v>7.9999999999417923</v>
      </c>
      <c r="J16" s="9"/>
      <c r="K16" s="10">
        <f t="shared" si="0"/>
        <v>0</v>
      </c>
      <c r="L16" s="8">
        <v>46199.645833333336</v>
      </c>
      <c r="M16" s="8">
        <v>46200</v>
      </c>
      <c r="N16" s="9">
        <v>0.5</v>
      </c>
      <c r="O16" s="8"/>
      <c r="P16" s="8"/>
      <c r="Q16" s="9">
        <f t="shared" si="1"/>
        <v>7.9999999999417923</v>
      </c>
      <c r="R16" s="9"/>
      <c r="S16" s="10">
        <f t="shared" si="2"/>
        <v>0</v>
      </c>
      <c r="T16" s="8">
        <v>46200.3125</v>
      </c>
      <c r="U16" s="8">
        <v>46200.666666666664</v>
      </c>
      <c r="V16" s="9">
        <v>0.5</v>
      </c>
      <c r="W16" s="8"/>
      <c r="X16" s="8"/>
      <c r="Y16" s="9">
        <f t="shared" si="3"/>
        <v>7.9999999999417923</v>
      </c>
      <c r="Z16" s="9"/>
      <c r="AA16" s="10">
        <f t="shared" si="4"/>
        <v>0</v>
      </c>
      <c r="AB16" s="8">
        <v>46201.3125</v>
      </c>
      <c r="AC16" s="8">
        <v>46201.666666666664</v>
      </c>
      <c r="AD16" s="34">
        <v>0.5</v>
      </c>
      <c r="AE16" s="8"/>
      <c r="AF16" s="8"/>
      <c r="AG16" s="9">
        <f t="shared" si="5"/>
        <v>7.9999999999417923</v>
      </c>
      <c r="AH16" s="9"/>
      <c r="AI16" s="26">
        <f t="shared" si="6"/>
        <v>0</v>
      </c>
      <c r="AJ16" s="8">
        <v>46202.3125</v>
      </c>
      <c r="AK16" s="8">
        <v>46202.666666666664</v>
      </c>
      <c r="AL16" s="34">
        <v>0.5</v>
      </c>
      <c r="AM16" s="8"/>
      <c r="AN16" s="8"/>
      <c r="AO16" s="9">
        <f t="shared" si="7"/>
        <v>7.9999999999417923</v>
      </c>
      <c r="AP16" s="9"/>
      <c r="AQ16" s="20">
        <f t="shared" si="8"/>
        <v>0</v>
      </c>
      <c r="AR16" s="8">
        <v>46203.3125</v>
      </c>
      <c r="AS16" s="8">
        <v>46203.666666666664</v>
      </c>
      <c r="AT16" s="34">
        <v>0.5</v>
      </c>
      <c r="AU16" s="8"/>
      <c r="AV16" s="8"/>
      <c r="AW16" s="9">
        <f t="shared" si="9"/>
        <v>7.9999999999417923</v>
      </c>
      <c r="AX16" s="9"/>
      <c r="AY16" s="10">
        <f t="shared" si="10"/>
        <v>0</v>
      </c>
      <c r="AZ16" s="8">
        <v>46204.3125</v>
      </c>
      <c r="BA16" s="8">
        <v>46204.666666666664</v>
      </c>
      <c r="BB16" s="34">
        <v>0.5</v>
      </c>
      <c r="BC16" s="8"/>
      <c r="BD16" s="8"/>
      <c r="BE16" s="9">
        <f t="shared" si="11"/>
        <v>7.9999999999417923</v>
      </c>
      <c r="BF16" s="9"/>
      <c r="BG16" s="25">
        <f t="shared" si="12"/>
        <v>0</v>
      </c>
    </row>
    <row r="17" spans="1:59" ht="25.5" customHeight="1">
      <c r="A17" s="6">
        <v>9</v>
      </c>
      <c r="B17" s="30" t="s">
        <v>23</v>
      </c>
      <c r="C17" s="29" t="s">
        <v>14</v>
      </c>
      <c r="D17" s="8">
        <v>46198.979166666664</v>
      </c>
      <c r="E17" s="8">
        <v>46199.333333333336</v>
      </c>
      <c r="F17" s="9">
        <v>0.5</v>
      </c>
      <c r="G17" s="8"/>
      <c r="H17" s="8"/>
      <c r="I17" s="9">
        <f t="shared" si="13"/>
        <v>8.0000000001164153</v>
      </c>
      <c r="J17" s="9"/>
      <c r="K17" s="10">
        <f t="shared" si="0"/>
        <v>0</v>
      </c>
      <c r="L17" s="8">
        <v>46199.979166666664</v>
      </c>
      <c r="M17" s="8">
        <v>46200.333333333336</v>
      </c>
      <c r="N17" s="9">
        <v>0.5</v>
      </c>
      <c r="O17" s="8"/>
      <c r="P17" s="8"/>
      <c r="Q17" s="9">
        <f t="shared" si="1"/>
        <v>8.0000000001164153</v>
      </c>
      <c r="R17" s="9"/>
      <c r="S17" s="10">
        <f t="shared" si="2"/>
        <v>0</v>
      </c>
      <c r="T17" s="8">
        <v>46200.979166666664</v>
      </c>
      <c r="U17" s="8">
        <v>46201.333333333336</v>
      </c>
      <c r="V17" s="9">
        <v>0.5</v>
      </c>
      <c r="W17" s="8"/>
      <c r="X17" s="8"/>
      <c r="Y17" s="9">
        <f t="shared" si="3"/>
        <v>8.0000000001164153</v>
      </c>
      <c r="Z17" s="9"/>
      <c r="AA17" s="10">
        <f t="shared" si="4"/>
        <v>0</v>
      </c>
      <c r="AB17" s="8">
        <v>46201.645833333336</v>
      </c>
      <c r="AC17" s="8">
        <v>46202</v>
      </c>
      <c r="AD17" s="34">
        <v>0.5</v>
      </c>
      <c r="AE17" s="8"/>
      <c r="AF17" s="8"/>
      <c r="AG17" s="9">
        <f t="shared" si="5"/>
        <v>7.9999999999417923</v>
      </c>
      <c r="AH17" s="9"/>
      <c r="AI17" s="26">
        <f t="shared" si="6"/>
        <v>0</v>
      </c>
      <c r="AJ17" s="8">
        <v>46202.645833333336</v>
      </c>
      <c r="AK17" s="8">
        <v>46203</v>
      </c>
      <c r="AL17" s="34">
        <v>0.5</v>
      </c>
      <c r="AM17" s="8"/>
      <c r="AN17" s="8"/>
      <c r="AO17" s="9">
        <f t="shared" si="7"/>
        <v>7.9999999999417923</v>
      </c>
      <c r="AP17" s="9"/>
      <c r="AQ17" s="20">
        <f t="shared" si="8"/>
        <v>0</v>
      </c>
      <c r="AR17" s="8">
        <v>46203.645833333336</v>
      </c>
      <c r="AS17" s="8">
        <v>46204</v>
      </c>
      <c r="AT17" s="34">
        <v>0.5</v>
      </c>
      <c r="AU17" s="8"/>
      <c r="AV17" s="8"/>
      <c r="AW17" s="9">
        <f t="shared" si="9"/>
        <v>7.9999999999417923</v>
      </c>
      <c r="AX17" s="9"/>
      <c r="AY17" s="10">
        <f t="shared" si="10"/>
        <v>0</v>
      </c>
      <c r="AZ17" s="8">
        <v>46204.645833333336</v>
      </c>
      <c r="BA17" s="8">
        <v>46205</v>
      </c>
      <c r="BB17" s="34">
        <v>0.5</v>
      </c>
      <c r="BC17" s="8"/>
      <c r="BD17" s="8"/>
      <c r="BE17" s="9">
        <f t="shared" si="11"/>
        <v>7.9999999999417923</v>
      </c>
      <c r="BF17" s="9"/>
      <c r="BG17" s="25">
        <f t="shared" si="12"/>
        <v>0</v>
      </c>
    </row>
    <row r="18" spans="1:59" ht="25.5" customHeight="1">
      <c r="A18" s="6">
        <v>10</v>
      </c>
      <c r="B18" s="30" t="s">
        <v>24</v>
      </c>
      <c r="C18" s="29" t="s">
        <v>14</v>
      </c>
      <c r="D18" s="8">
        <v>46198.3125</v>
      </c>
      <c r="E18" s="8">
        <v>46198.666666666664</v>
      </c>
      <c r="F18" s="9">
        <v>0.5</v>
      </c>
      <c r="G18" s="8"/>
      <c r="H18" s="8"/>
      <c r="I18" s="9">
        <f t="shared" si="13"/>
        <v>7.9999999999417923</v>
      </c>
      <c r="J18" s="9"/>
      <c r="K18" s="10">
        <f t="shared" si="0"/>
        <v>0</v>
      </c>
      <c r="L18" s="8">
        <v>46199.3125</v>
      </c>
      <c r="M18" s="8">
        <v>46199.666666666664</v>
      </c>
      <c r="N18" s="9">
        <v>0.5</v>
      </c>
      <c r="O18" s="8"/>
      <c r="P18" s="8"/>
      <c r="Q18" s="9">
        <f t="shared" si="1"/>
        <v>7.9999999999417923</v>
      </c>
      <c r="R18" s="9"/>
      <c r="S18" s="10">
        <f t="shared" si="2"/>
        <v>0</v>
      </c>
      <c r="T18" s="8">
        <v>46200.3125</v>
      </c>
      <c r="U18" s="8">
        <v>46200.666666666664</v>
      </c>
      <c r="V18" s="9">
        <v>0.5</v>
      </c>
      <c r="W18" s="8"/>
      <c r="X18" s="8"/>
      <c r="Y18" s="9">
        <f t="shared" si="3"/>
        <v>7.9999999999417923</v>
      </c>
      <c r="Z18" s="9"/>
      <c r="AA18" s="10">
        <f t="shared" si="4"/>
        <v>0</v>
      </c>
      <c r="AB18" s="8">
        <v>46201.3125</v>
      </c>
      <c r="AC18" s="8">
        <v>46201.666666666664</v>
      </c>
      <c r="AD18" s="34">
        <v>0.5</v>
      </c>
      <c r="AE18" s="8"/>
      <c r="AF18" s="8"/>
      <c r="AG18" s="9">
        <f t="shared" si="5"/>
        <v>7.9999999999417923</v>
      </c>
      <c r="AH18" s="9"/>
      <c r="AI18" s="26">
        <f t="shared" si="6"/>
        <v>0</v>
      </c>
      <c r="AJ18" s="32"/>
      <c r="AK18" s="32"/>
      <c r="AL18" s="34"/>
      <c r="AM18" s="8"/>
      <c r="AN18" s="8"/>
      <c r="AO18" s="9">
        <f>SUM(AK18-AJ18)*24-AL18</f>
        <v>0</v>
      </c>
      <c r="AP18" s="9"/>
      <c r="AQ18" s="20">
        <f t="shared" si="8"/>
        <v>0</v>
      </c>
      <c r="AR18" s="8">
        <v>46203.3125</v>
      </c>
      <c r="AS18" s="8">
        <v>46203.666666666664</v>
      </c>
      <c r="AT18" s="34">
        <v>0.5</v>
      </c>
      <c r="AU18" s="8"/>
      <c r="AV18" s="8"/>
      <c r="AW18" s="9">
        <f t="shared" si="9"/>
        <v>7.9999999999417923</v>
      </c>
      <c r="AX18" s="9"/>
      <c r="AY18" s="10">
        <f t="shared" si="10"/>
        <v>0</v>
      </c>
      <c r="AZ18" s="8">
        <v>46204.3125</v>
      </c>
      <c r="BA18" s="8">
        <v>46204.666666666664</v>
      </c>
      <c r="BB18" s="34">
        <v>0.5</v>
      </c>
      <c r="BC18" s="8"/>
      <c r="BD18" s="8"/>
      <c r="BE18" s="9">
        <f t="shared" si="11"/>
        <v>7.9999999999417923</v>
      </c>
      <c r="BF18" s="9"/>
      <c r="BG18" s="25">
        <f t="shared" si="12"/>
        <v>0</v>
      </c>
    </row>
    <row r="19" spans="1:59" ht="25.5" customHeight="1">
      <c r="A19" s="6">
        <v>11</v>
      </c>
      <c r="B19" s="30" t="s">
        <v>25</v>
      </c>
      <c r="C19" s="29" t="s">
        <v>14</v>
      </c>
      <c r="D19" s="32"/>
      <c r="E19" s="32"/>
      <c r="F19" s="9"/>
      <c r="G19" s="8"/>
      <c r="H19" s="8"/>
      <c r="I19" s="9">
        <f t="shared" si="13"/>
        <v>0</v>
      </c>
      <c r="J19" s="9"/>
      <c r="K19" s="10">
        <f t="shared" si="0"/>
        <v>0</v>
      </c>
      <c r="L19" s="8">
        <v>46199.3125</v>
      </c>
      <c r="M19" s="8">
        <v>46199.666666666664</v>
      </c>
      <c r="N19" s="9">
        <v>0.5</v>
      </c>
      <c r="O19" s="8"/>
      <c r="P19" s="8"/>
      <c r="Q19" s="9">
        <f t="shared" si="1"/>
        <v>7.9999999999417923</v>
      </c>
      <c r="R19" s="9"/>
      <c r="S19" s="10">
        <f t="shared" si="2"/>
        <v>0</v>
      </c>
      <c r="T19" s="8">
        <v>46200.3125</v>
      </c>
      <c r="U19" s="8">
        <v>46200.666666666664</v>
      </c>
      <c r="V19" s="9">
        <v>0.5</v>
      </c>
      <c r="W19" s="8"/>
      <c r="X19" s="8"/>
      <c r="Y19" s="9">
        <f t="shared" si="3"/>
        <v>7.9999999999417923</v>
      </c>
      <c r="Z19" s="9"/>
      <c r="AA19" s="10">
        <f t="shared" si="4"/>
        <v>0</v>
      </c>
      <c r="AB19" s="8">
        <v>46201.3125</v>
      </c>
      <c r="AC19" s="8">
        <v>46201.666666666664</v>
      </c>
      <c r="AD19" s="34">
        <v>0.5</v>
      </c>
      <c r="AE19" s="8"/>
      <c r="AF19" s="8"/>
      <c r="AG19" s="9">
        <f t="shared" si="5"/>
        <v>7.9999999999417923</v>
      </c>
      <c r="AH19" s="9"/>
      <c r="AI19" s="26">
        <f t="shared" si="6"/>
        <v>0</v>
      </c>
      <c r="AJ19" s="8">
        <v>46202.520833333336</v>
      </c>
      <c r="AK19" s="8">
        <v>46202.875</v>
      </c>
      <c r="AL19" s="34">
        <v>0.5</v>
      </c>
      <c r="AM19" s="8"/>
      <c r="AN19" s="8"/>
      <c r="AO19" s="9">
        <f t="shared" si="7"/>
        <v>7.9999999999417923</v>
      </c>
      <c r="AP19" s="9"/>
      <c r="AQ19" s="20">
        <f t="shared" si="8"/>
        <v>0</v>
      </c>
      <c r="AR19" s="8">
        <v>46203.3125</v>
      </c>
      <c r="AS19" s="8">
        <v>46203.666666666664</v>
      </c>
      <c r="AT19" s="34">
        <v>0.5</v>
      </c>
      <c r="AU19" s="8"/>
      <c r="AV19" s="8"/>
      <c r="AW19" s="9">
        <f t="shared" si="9"/>
        <v>7.9999999999417923</v>
      </c>
      <c r="AX19" s="9"/>
      <c r="AY19" s="10">
        <f t="shared" si="10"/>
        <v>0</v>
      </c>
      <c r="AZ19" s="8">
        <v>46204.3125</v>
      </c>
      <c r="BA19" s="8">
        <v>46204.666666666664</v>
      </c>
      <c r="BB19" s="34">
        <v>0.5</v>
      </c>
      <c r="BC19" s="8"/>
      <c r="BD19" s="8"/>
      <c r="BE19" s="9">
        <f t="shared" si="11"/>
        <v>7.9999999999417923</v>
      </c>
      <c r="BF19" s="9"/>
      <c r="BG19" s="25">
        <f t="shared" si="12"/>
        <v>0</v>
      </c>
    </row>
    <row r="20" spans="1:59" ht="36.75" hidden="1" customHeight="1">
      <c r="A20" s="6">
        <v>13</v>
      </c>
      <c r="B20" s="31" t="s">
        <v>22</v>
      </c>
      <c r="C20" s="29" t="s">
        <v>14</v>
      </c>
      <c r="D20" s="33"/>
      <c r="E20" s="33"/>
      <c r="F20" s="9"/>
      <c r="G20" s="8"/>
      <c r="H20" s="8"/>
      <c r="I20" s="9">
        <f t="shared" si="13"/>
        <v>0</v>
      </c>
      <c r="J20" s="9"/>
      <c r="K20" s="10">
        <f t="shared" si="0"/>
        <v>0</v>
      </c>
      <c r="L20" s="33"/>
      <c r="M20" s="33"/>
      <c r="N20" s="9"/>
      <c r="O20" s="8"/>
      <c r="P20" s="8"/>
      <c r="Q20" s="9">
        <f t="shared" si="1"/>
        <v>0</v>
      </c>
      <c r="R20" s="9"/>
      <c r="S20" s="10">
        <f t="shared" si="2"/>
        <v>0</v>
      </c>
      <c r="T20" s="33"/>
      <c r="U20" s="33"/>
      <c r="V20" s="9"/>
      <c r="W20" s="8"/>
      <c r="X20" s="8"/>
      <c r="Y20" s="9">
        <f t="shared" si="3"/>
        <v>0</v>
      </c>
      <c r="Z20" s="9"/>
      <c r="AA20" s="10">
        <f t="shared" si="4"/>
        <v>0</v>
      </c>
      <c r="AB20" s="33"/>
      <c r="AC20" s="33"/>
      <c r="AD20" s="34"/>
      <c r="AE20" s="8"/>
      <c r="AF20" s="8"/>
      <c r="AG20" s="9">
        <f t="shared" si="5"/>
        <v>0</v>
      </c>
      <c r="AH20" s="9"/>
      <c r="AI20" s="26">
        <f t="shared" si="6"/>
        <v>0</v>
      </c>
      <c r="AJ20" s="33"/>
      <c r="AK20" s="33"/>
      <c r="AL20" s="34"/>
      <c r="AM20" s="8"/>
      <c r="AN20" s="8"/>
      <c r="AO20" s="9">
        <f t="shared" si="7"/>
        <v>0</v>
      </c>
      <c r="AP20" s="9"/>
      <c r="AQ20" s="20">
        <f t="shared" si="8"/>
        <v>0</v>
      </c>
      <c r="AR20" s="33"/>
      <c r="AS20" s="33"/>
      <c r="AT20" s="34"/>
      <c r="AU20" s="7"/>
      <c r="AV20" s="8"/>
      <c r="AW20" s="9">
        <f t="shared" si="9"/>
        <v>0</v>
      </c>
      <c r="AX20" s="9"/>
      <c r="AY20" s="10">
        <f t="shared" si="10"/>
        <v>0</v>
      </c>
      <c r="AZ20" s="33"/>
      <c r="BA20" s="33"/>
      <c r="BB20" s="34"/>
      <c r="BC20" s="7"/>
      <c r="BD20" s="8"/>
      <c r="BE20" s="9">
        <f t="shared" si="11"/>
        <v>0</v>
      </c>
      <c r="BF20" s="9"/>
      <c r="BG20" s="25">
        <f t="shared" si="12"/>
        <v>0</v>
      </c>
    </row>
    <row r="21" spans="1:59" ht="25.5" hidden="1" customHeight="1">
      <c r="A21" s="6">
        <v>12</v>
      </c>
      <c r="B21" s="30" t="s">
        <v>26</v>
      </c>
      <c r="C21" s="29" t="s">
        <v>14</v>
      </c>
      <c r="D21" s="8"/>
      <c r="E21" s="8"/>
      <c r="F21" s="9"/>
      <c r="G21" s="8"/>
      <c r="H21" s="8"/>
      <c r="I21" s="9">
        <f t="shared" si="13"/>
        <v>0</v>
      </c>
      <c r="J21" s="9"/>
      <c r="K21" s="10">
        <f t="shared" si="0"/>
        <v>0</v>
      </c>
      <c r="L21" s="8"/>
      <c r="M21" s="8"/>
      <c r="N21" s="9"/>
      <c r="O21" s="8"/>
      <c r="P21" s="8"/>
      <c r="Q21" s="9">
        <f t="shared" si="1"/>
        <v>0</v>
      </c>
      <c r="R21" s="9"/>
      <c r="S21" s="10">
        <f t="shared" si="2"/>
        <v>0</v>
      </c>
      <c r="T21" s="8"/>
      <c r="U21" s="8"/>
      <c r="V21" s="9"/>
      <c r="W21" s="8"/>
      <c r="X21" s="8"/>
      <c r="Y21" s="9">
        <f t="shared" si="3"/>
        <v>0</v>
      </c>
      <c r="Z21" s="9"/>
      <c r="AA21" s="10">
        <f t="shared" si="4"/>
        <v>0</v>
      </c>
      <c r="AB21" s="32"/>
      <c r="AC21" s="32"/>
      <c r="AD21" s="34"/>
      <c r="AE21" s="8"/>
      <c r="AF21" s="8"/>
      <c r="AG21" s="9">
        <f t="shared" si="5"/>
        <v>0</v>
      </c>
      <c r="AH21" s="9"/>
      <c r="AI21" s="26"/>
      <c r="AJ21" s="32"/>
      <c r="AK21" s="32"/>
      <c r="AL21" s="34"/>
      <c r="AM21" s="8"/>
      <c r="AN21" s="8"/>
      <c r="AO21" s="9">
        <f t="shared" si="7"/>
        <v>0</v>
      </c>
      <c r="AP21" s="9"/>
      <c r="AQ21" s="20"/>
      <c r="AR21" s="32"/>
      <c r="AS21" s="32"/>
      <c r="AT21" s="34"/>
      <c r="AU21" s="7"/>
      <c r="AV21" s="8"/>
      <c r="AW21" s="9">
        <f t="shared" si="9"/>
        <v>0</v>
      </c>
      <c r="AX21" s="9"/>
      <c r="AY21" s="10"/>
      <c r="AZ21" s="32"/>
      <c r="BA21" s="32"/>
      <c r="BB21" s="34"/>
      <c r="BC21" s="7"/>
      <c r="BD21" s="8"/>
      <c r="BE21" s="9">
        <f t="shared" si="11"/>
        <v>0</v>
      </c>
      <c r="BF21" s="9"/>
      <c r="BG21" s="25"/>
    </row>
    <row r="22" spans="1:59" ht="25.5" customHeight="1">
      <c r="A22" s="6">
        <v>13</v>
      </c>
      <c r="B22" s="30" t="s">
        <v>36</v>
      </c>
      <c r="C22" s="29" t="s">
        <v>14</v>
      </c>
      <c r="D22" s="8">
        <v>46198.3125</v>
      </c>
      <c r="E22" s="8">
        <v>46198.666666666664</v>
      </c>
      <c r="F22" s="9">
        <v>0.5</v>
      </c>
      <c r="G22" s="8"/>
      <c r="H22" s="8"/>
      <c r="I22" s="9">
        <f t="shared" si="13"/>
        <v>7.9999999999417923</v>
      </c>
      <c r="J22" s="9"/>
      <c r="K22" s="10">
        <f t="shared" si="0"/>
        <v>0</v>
      </c>
      <c r="L22" s="8">
        <v>46199.520833333336</v>
      </c>
      <c r="M22" s="8">
        <v>46199.875</v>
      </c>
      <c r="N22" s="9">
        <v>0.5</v>
      </c>
      <c r="O22" s="8"/>
      <c r="P22" s="8"/>
      <c r="Q22" s="9">
        <f t="shared" si="1"/>
        <v>7.9999999999417923</v>
      </c>
      <c r="R22" s="9"/>
      <c r="S22" s="10">
        <f t="shared" si="2"/>
        <v>0</v>
      </c>
      <c r="T22" s="8">
        <v>46200.645833333336</v>
      </c>
      <c r="U22" s="8">
        <v>46201</v>
      </c>
      <c r="V22" s="9">
        <v>0.5</v>
      </c>
      <c r="W22" s="8"/>
      <c r="X22" s="8"/>
      <c r="Y22" s="9">
        <f t="shared" si="3"/>
        <v>7.9999999999417923</v>
      </c>
      <c r="Z22" s="9"/>
      <c r="AA22" s="10">
        <f t="shared" si="4"/>
        <v>0</v>
      </c>
      <c r="AB22" s="8">
        <v>46201.3125</v>
      </c>
      <c r="AC22" s="8">
        <v>46201.666666666664</v>
      </c>
      <c r="AD22" s="34">
        <v>0.5</v>
      </c>
      <c r="AE22" s="8"/>
      <c r="AF22" s="8"/>
      <c r="AG22" s="9">
        <f t="shared" si="5"/>
        <v>7.9999999999417923</v>
      </c>
      <c r="AH22" s="9"/>
      <c r="AI22" s="26"/>
      <c r="AJ22" s="8">
        <v>46202.3125</v>
      </c>
      <c r="AK22" s="8">
        <v>46202.666666666664</v>
      </c>
      <c r="AL22" s="34">
        <v>0.5</v>
      </c>
      <c r="AM22" s="8"/>
      <c r="AN22" s="8"/>
      <c r="AO22" s="9">
        <f t="shared" si="7"/>
        <v>7.9999999999417923</v>
      </c>
      <c r="AP22" s="9"/>
      <c r="AQ22" s="20"/>
      <c r="AR22" s="32"/>
      <c r="AS22" s="32"/>
      <c r="AT22" s="34"/>
      <c r="AU22" s="7"/>
      <c r="AV22" s="8"/>
      <c r="AW22" s="9">
        <f>SUM(AS22-AR22)*24-AT22</f>
        <v>0</v>
      </c>
      <c r="AX22" s="9"/>
      <c r="AY22" s="10"/>
      <c r="AZ22" s="8">
        <v>46204.645833333336</v>
      </c>
      <c r="BA22" s="8">
        <v>46205</v>
      </c>
      <c r="BB22" s="34">
        <v>0.5</v>
      </c>
      <c r="BC22" s="7"/>
      <c r="BD22" s="8"/>
      <c r="BE22" s="9">
        <f t="shared" si="11"/>
        <v>7.9999999999417923</v>
      </c>
      <c r="BF22" s="9"/>
      <c r="BG22" s="25"/>
    </row>
    <row r="23" spans="1:59" ht="25.5" customHeight="1">
      <c r="A23" s="6">
        <v>14</v>
      </c>
      <c r="B23" s="30" t="s">
        <v>37</v>
      </c>
      <c r="C23" s="29" t="s">
        <v>14</v>
      </c>
      <c r="D23" s="8">
        <v>46198.979166666664</v>
      </c>
      <c r="E23" s="8">
        <v>46199.333333333336</v>
      </c>
      <c r="F23" s="9">
        <v>0.5</v>
      </c>
      <c r="G23" s="8"/>
      <c r="H23" s="8"/>
      <c r="I23" s="9">
        <f t="shared" si="13"/>
        <v>8.0000000001164153</v>
      </c>
      <c r="J23" s="9"/>
      <c r="K23" s="10"/>
      <c r="L23" s="8">
        <v>46199.979166666664</v>
      </c>
      <c r="M23" s="8">
        <v>46200.333333333336</v>
      </c>
      <c r="N23" s="9">
        <v>0.5</v>
      </c>
      <c r="O23" s="8"/>
      <c r="P23" s="8"/>
      <c r="Q23" s="9">
        <f t="shared" si="1"/>
        <v>8.0000000001164153</v>
      </c>
      <c r="R23" s="9"/>
      <c r="S23" s="10"/>
      <c r="T23" s="8">
        <v>46200.979166666664</v>
      </c>
      <c r="U23" s="8">
        <v>46201.333333333336</v>
      </c>
      <c r="V23" s="9">
        <v>0.5</v>
      </c>
      <c r="W23" s="8"/>
      <c r="X23" s="8"/>
      <c r="Y23" s="9">
        <f t="shared" si="3"/>
        <v>8.0000000001164153</v>
      </c>
      <c r="Z23" s="9"/>
      <c r="AA23" s="10"/>
      <c r="AB23" s="32"/>
      <c r="AC23" s="32"/>
      <c r="AD23" s="34"/>
      <c r="AE23" s="8"/>
      <c r="AF23" s="8"/>
      <c r="AG23" s="9">
        <f t="shared" si="5"/>
        <v>0</v>
      </c>
      <c r="AH23" s="9"/>
      <c r="AI23" s="26"/>
      <c r="AJ23" s="8">
        <v>46202.645833333336</v>
      </c>
      <c r="AK23" s="8">
        <v>46203</v>
      </c>
      <c r="AL23" s="34">
        <v>0.5</v>
      </c>
      <c r="AM23" s="8"/>
      <c r="AN23" s="8"/>
      <c r="AO23" s="9">
        <f t="shared" si="7"/>
        <v>7.9999999999417923</v>
      </c>
      <c r="AP23" s="9"/>
      <c r="AQ23" s="20"/>
      <c r="AR23" s="8">
        <v>46203.645833333336</v>
      </c>
      <c r="AS23" s="8">
        <v>46204</v>
      </c>
      <c r="AT23" s="34">
        <v>0.5</v>
      </c>
      <c r="AU23" s="7"/>
      <c r="AV23" s="8"/>
      <c r="AW23" s="9">
        <f t="shared" ref="AW23:AW30" si="14">SUM(AS23-AR23)*24-AT23</f>
        <v>7.9999999999417923</v>
      </c>
      <c r="AX23" s="9"/>
      <c r="AY23" s="10"/>
      <c r="AZ23" s="8">
        <v>46204.645833333336</v>
      </c>
      <c r="BA23" s="8">
        <v>46205</v>
      </c>
      <c r="BB23" s="34">
        <v>0.5</v>
      </c>
      <c r="BC23" s="7"/>
      <c r="BD23" s="8"/>
      <c r="BE23" s="9">
        <f t="shared" si="11"/>
        <v>7.9999999999417923</v>
      </c>
      <c r="BF23" s="9"/>
      <c r="BG23" s="25"/>
    </row>
    <row r="24" spans="1:59" ht="30.75" hidden="1" customHeight="1">
      <c r="A24" s="6">
        <v>14</v>
      </c>
      <c r="B24" s="30" t="s">
        <v>38</v>
      </c>
      <c r="C24" s="29" t="s">
        <v>14</v>
      </c>
      <c r="D24" s="8"/>
      <c r="E24" s="8"/>
      <c r="F24" s="9"/>
      <c r="G24" s="8"/>
      <c r="H24" s="8"/>
      <c r="I24" s="9">
        <f t="shared" ref="I24" si="15">SUM(E24-D24)*24-F24</f>
        <v>0</v>
      </c>
      <c r="J24" s="9"/>
      <c r="K24" s="10"/>
      <c r="L24" s="8"/>
      <c r="M24" s="8"/>
      <c r="N24" s="9"/>
      <c r="O24" s="8"/>
      <c r="P24" s="8"/>
      <c r="Q24" s="9">
        <f t="shared" ref="Q24" si="16">SUM(M24-L24)*24-N24</f>
        <v>0</v>
      </c>
      <c r="R24" s="9"/>
      <c r="S24" s="10"/>
      <c r="T24" s="8"/>
      <c r="U24" s="8"/>
      <c r="V24" s="9"/>
      <c r="W24" s="8"/>
      <c r="X24" s="8"/>
      <c r="Y24" s="9">
        <f t="shared" ref="Y24" si="17">SUM(U24-T24)*24-V24</f>
        <v>0</v>
      </c>
      <c r="Z24" s="9"/>
      <c r="AA24" s="10"/>
      <c r="AB24" s="8"/>
      <c r="AC24" s="8"/>
      <c r="AD24" s="34"/>
      <c r="AE24" s="8"/>
      <c r="AF24" s="8"/>
      <c r="AG24" s="9">
        <f t="shared" ref="AG24" si="18">SUM(AC24-AB24)*24-AD24</f>
        <v>0</v>
      </c>
      <c r="AH24" s="9"/>
      <c r="AI24" s="26"/>
      <c r="AJ24" s="32"/>
      <c r="AK24" s="32"/>
      <c r="AL24" s="34"/>
      <c r="AM24" s="8"/>
      <c r="AN24" s="8"/>
      <c r="AO24" s="9">
        <f t="shared" ref="AO24" si="19">SUM(AK24-AJ24)*24-AL24</f>
        <v>0</v>
      </c>
      <c r="AP24" s="9"/>
      <c r="AQ24" s="20"/>
      <c r="AR24" s="32"/>
      <c r="AS24" s="32"/>
      <c r="AT24" s="34"/>
      <c r="AU24" s="7"/>
      <c r="AV24" s="8"/>
      <c r="AW24" s="9">
        <f t="shared" ref="AW24" si="20">SUM(AS24-AR24)*24-AT24</f>
        <v>0</v>
      </c>
      <c r="AX24" s="9"/>
      <c r="AY24" s="10"/>
      <c r="AZ24" s="32"/>
      <c r="BA24" s="32"/>
      <c r="BB24" s="34"/>
      <c r="BC24" s="7"/>
      <c r="BD24" s="8"/>
      <c r="BE24" s="9">
        <f t="shared" ref="BE24" si="21">SUM(BA24-AZ24)*24-BB24</f>
        <v>0</v>
      </c>
      <c r="BF24" s="9"/>
      <c r="BG24" s="25"/>
    </row>
    <row r="25" spans="1:59" ht="6.75" hidden="1" customHeight="1">
      <c r="A25" s="1"/>
      <c r="C25" s="29" t="s">
        <v>14</v>
      </c>
      <c r="D25" s="1"/>
      <c r="E25" s="1"/>
      <c r="F25" s="1"/>
      <c r="G25" s="1"/>
      <c r="H25" s="1"/>
      <c r="I25" s="9">
        <f t="shared" si="13"/>
        <v>0</v>
      </c>
      <c r="J25" s="1"/>
      <c r="K25" s="1"/>
      <c r="L25" s="1"/>
      <c r="M25" s="1"/>
      <c r="N25" s="1"/>
      <c r="O25" s="1"/>
      <c r="P25" s="1"/>
      <c r="Q25" s="9">
        <f t="shared" si="1"/>
        <v>0</v>
      </c>
      <c r="R25" s="1"/>
      <c r="S25" s="1"/>
      <c r="T25" s="1"/>
      <c r="U25" s="1"/>
      <c r="V25" s="1"/>
      <c r="W25" s="1"/>
      <c r="X25" s="1"/>
      <c r="Y25" s="9">
        <f t="shared" si="3"/>
        <v>0</v>
      </c>
      <c r="Z25" s="1"/>
      <c r="AA25" s="1"/>
      <c r="AB25" s="1"/>
      <c r="AC25" s="1"/>
      <c r="AD25" s="1"/>
      <c r="AE25" s="1"/>
      <c r="AF25" s="1"/>
      <c r="AG25" s="9">
        <f t="shared" si="5"/>
        <v>0</v>
      </c>
      <c r="AH25" s="1"/>
      <c r="AI25" s="1"/>
      <c r="AJ25" s="1"/>
      <c r="AK25" s="1"/>
      <c r="AL25" s="1"/>
      <c r="AM25" s="1"/>
      <c r="AN25" s="1"/>
      <c r="AO25" s="9">
        <f t="shared" si="7"/>
        <v>0</v>
      </c>
      <c r="AP25" s="1"/>
      <c r="AQ25" s="1"/>
      <c r="AR25" s="1"/>
      <c r="AS25" s="1"/>
      <c r="AT25" s="1"/>
      <c r="AU25" s="1"/>
      <c r="AV25" s="1"/>
      <c r="AW25" s="9">
        <f t="shared" si="14"/>
        <v>0</v>
      </c>
      <c r="AX25" s="1"/>
      <c r="AY25" s="1"/>
      <c r="AZ25" s="1"/>
      <c r="BA25" s="1"/>
      <c r="BB25" s="1"/>
      <c r="BC25" s="1"/>
      <c r="BD25" s="1"/>
      <c r="BE25" s="9">
        <f t="shared" si="11"/>
        <v>0</v>
      </c>
      <c r="BF25" s="1"/>
      <c r="BG25" s="1"/>
    </row>
    <row r="26" spans="1:59" ht="6.75" hidden="1" customHeight="1">
      <c r="A26" s="1"/>
      <c r="C26" s="29" t="s">
        <v>14</v>
      </c>
      <c r="D26" s="1"/>
      <c r="E26" s="1"/>
      <c r="F26" s="1"/>
      <c r="G26" s="1"/>
      <c r="H26" s="1"/>
      <c r="I26" s="9">
        <f t="shared" si="13"/>
        <v>0</v>
      </c>
      <c r="J26" s="1"/>
      <c r="K26" s="1"/>
      <c r="L26" s="1"/>
      <c r="M26" s="1"/>
      <c r="N26" s="1"/>
      <c r="O26" s="1"/>
      <c r="P26" s="1"/>
      <c r="Q26" s="9">
        <f t="shared" si="1"/>
        <v>0</v>
      </c>
      <c r="R26" s="1"/>
      <c r="S26" s="1"/>
      <c r="T26" s="1"/>
      <c r="U26" s="1"/>
      <c r="V26" s="1"/>
      <c r="W26" s="1"/>
      <c r="X26" s="1"/>
      <c r="Y26" s="9">
        <f t="shared" si="3"/>
        <v>0</v>
      </c>
      <c r="Z26" s="1"/>
      <c r="AA26" s="1"/>
      <c r="AB26" s="1"/>
      <c r="AC26" s="1"/>
      <c r="AD26" s="1"/>
      <c r="AE26" s="1"/>
      <c r="AF26" s="1"/>
      <c r="AG26" s="9">
        <f t="shared" si="5"/>
        <v>0</v>
      </c>
      <c r="AH26" s="1"/>
      <c r="AI26" s="1"/>
      <c r="AJ26" s="1"/>
      <c r="AK26" s="1"/>
      <c r="AL26" s="1"/>
      <c r="AM26" s="1"/>
      <c r="AN26" s="1"/>
      <c r="AO26" s="9">
        <f t="shared" si="7"/>
        <v>0</v>
      </c>
      <c r="AP26" s="1"/>
      <c r="AQ26" s="1"/>
      <c r="AR26" s="1"/>
      <c r="AS26" s="1"/>
      <c r="AT26" s="1"/>
      <c r="AU26" s="1"/>
      <c r="AV26" s="1"/>
      <c r="AW26" s="9">
        <f t="shared" si="14"/>
        <v>0</v>
      </c>
      <c r="AX26" s="1"/>
      <c r="AY26" s="1"/>
      <c r="AZ26" s="1"/>
      <c r="BA26" s="1"/>
      <c r="BB26" s="1"/>
      <c r="BC26" s="1"/>
      <c r="BD26" s="1"/>
      <c r="BE26" s="9">
        <f t="shared" si="11"/>
        <v>0</v>
      </c>
      <c r="BF26" s="1"/>
      <c r="BG26" s="1"/>
    </row>
    <row r="27" spans="1:59" ht="6.75" hidden="1" customHeight="1">
      <c r="A27" s="1"/>
      <c r="C27" s="29" t="s">
        <v>14</v>
      </c>
      <c r="D27" s="1"/>
      <c r="E27" s="1"/>
      <c r="F27" s="1"/>
      <c r="G27" s="1"/>
      <c r="H27" s="1"/>
      <c r="I27" s="9">
        <f t="shared" si="13"/>
        <v>0</v>
      </c>
      <c r="J27" s="1"/>
      <c r="K27" s="1"/>
      <c r="L27" s="1"/>
      <c r="M27" s="1"/>
      <c r="N27" s="1"/>
      <c r="O27" s="1"/>
      <c r="P27" s="1"/>
      <c r="Q27" s="9">
        <f t="shared" si="1"/>
        <v>0</v>
      </c>
      <c r="R27" s="1"/>
      <c r="S27" s="1"/>
      <c r="T27" s="1"/>
      <c r="U27" s="1"/>
      <c r="V27" s="1"/>
      <c r="W27" s="1"/>
      <c r="X27" s="1"/>
      <c r="Y27" s="9">
        <f t="shared" si="3"/>
        <v>0</v>
      </c>
      <c r="Z27" s="1"/>
      <c r="AA27" s="1"/>
      <c r="AB27" s="1"/>
      <c r="AC27" s="1"/>
      <c r="AD27" s="1"/>
      <c r="AE27" s="1"/>
      <c r="AF27" s="1"/>
      <c r="AG27" s="9">
        <f t="shared" si="5"/>
        <v>0</v>
      </c>
      <c r="AH27" s="1"/>
      <c r="AI27" s="1"/>
      <c r="AJ27" s="1"/>
      <c r="AK27" s="1"/>
      <c r="AL27" s="1"/>
      <c r="AM27" s="1"/>
      <c r="AN27" s="1"/>
      <c r="AO27" s="9">
        <f t="shared" si="7"/>
        <v>0</v>
      </c>
      <c r="AP27" s="1"/>
      <c r="AQ27" s="1"/>
      <c r="AR27" s="1"/>
      <c r="AS27" s="1"/>
      <c r="AT27" s="1"/>
      <c r="AU27" s="1"/>
      <c r="AV27" s="1"/>
      <c r="AW27" s="9">
        <f t="shared" si="14"/>
        <v>0</v>
      </c>
      <c r="AX27" s="1"/>
      <c r="AY27" s="1"/>
      <c r="AZ27" s="1"/>
      <c r="BA27" s="1"/>
      <c r="BB27" s="1"/>
      <c r="BC27" s="1"/>
      <c r="BD27" s="1"/>
      <c r="BE27" s="9">
        <f t="shared" si="11"/>
        <v>0</v>
      </c>
      <c r="BF27" s="1"/>
      <c r="BG27" s="1"/>
    </row>
    <row r="28" spans="1:59" ht="6.75" hidden="1" customHeight="1">
      <c r="A28" s="1"/>
      <c r="C28" s="29" t="s">
        <v>14</v>
      </c>
      <c r="D28" s="1"/>
      <c r="E28" s="1"/>
      <c r="F28" s="1"/>
      <c r="G28" s="1"/>
      <c r="H28" s="1"/>
      <c r="I28" s="9">
        <f t="shared" si="13"/>
        <v>0</v>
      </c>
      <c r="J28" s="1"/>
      <c r="K28" s="1"/>
      <c r="L28" s="1"/>
      <c r="M28" s="1"/>
      <c r="N28" s="1"/>
      <c r="O28" s="1"/>
      <c r="P28" s="1"/>
      <c r="Q28" s="9">
        <f t="shared" si="1"/>
        <v>0</v>
      </c>
      <c r="R28" s="1"/>
      <c r="S28" s="1"/>
      <c r="T28" s="1"/>
      <c r="U28" s="1"/>
      <c r="V28" s="1"/>
      <c r="W28" s="1"/>
      <c r="X28" s="1"/>
      <c r="Y28" s="9">
        <f t="shared" si="3"/>
        <v>0</v>
      </c>
      <c r="Z28" s="1"/>
      <c r="AA28" s="1"/>
      <c r="AB28" s="1"/>
      <c r="AC28" s="1"/>
      <c r="AD28" s="1"/>
      <c r="AE28" s="1"/>
      <c r="AF28" s="1"/>
      <c r="AG28" s="9">
        <f t="shared" si="5"/>
        <v>0</v>
      </c>
      <c r="AH28" s="1"/>
      <c r="AI28" s="1"/>
      <c r="AJ28" s="1"/>
      <c r="AK28" s="1"/>
      <c r="AL28" s="1"/>
      <c r="AM28" s="1"/>
      <c r="AN28" s="1"/>
      <c r="AO28" s="9">
        <f t="shared" si="7"/>
        <v>0</v>
      </c>
      <c r="AP28" s="1"/>
      <c r="AQ28" s="1"/>
      <c r="AR28" s="1"/>
      <c r="AS28" s="1"/>
      <c r="AT28" s="1"/>
      <c r="AU28" s="1"/>
      <c r="AV28" s="1"/>
      <c r="AW28" s="9">
        <f t="shared" si="14"/>
        <v>0</v>
      </c>
      <c r="AX28" s="1"/>
      <c r="AY28" s="1"/>
      <c r="AZ28" s="1"/>
      <c r="BA28" s="1"/>
      <c r="BB28" s="1"/>
      <c r="BC28" s="1"/>
      <c r="BD28" s="1"/>
      <c r="BE28" s="9">
        <f t="shared" si="11"/>
        <v>0</v>
      </c>
      <c r="BF28" s="1"/>
      <c r="BG28" s="1"/>
    </row>
    <row r="29" spans="1:59" ht="26.25" customHeight="1">
      <c r="A29" s="6">
        <v>15</v>
      </c>
      <c r="B29" s="30" t="s">
        <v>39</v>
      </c>
      <c r="C29" s="29" t="s">
        <v>14</v>
      </c>
      <c r="D29" s="8">
        <v>46198.645833333336</v>
      </c>
      <c r="E29" s="8">
        <v>46199</v>
      </c>
      <c r="F29" s="9">
        <v>0.5</v>
      </c>
      <c r="G29" s="8"/>
      <c r="H29" s="8"/>
      <c r="I29" s="9">
        <f t="shared" si="13"/>
        <v>7.9999999999417923</v>
      </c>
      <c r="J29" s="9"/>
      <c r="K29" s="10"/>
      <c r="L29" s="8">
        <v>46199.645833333336</v>
      </c>
      <c r="M29" s="8">
        <v>46200</v>
      </c>
      <c r="N29" s="9">
        <v>0.5</v>
      </c>
      <c r="O29" s="8"/>
      <c r="P29" s="8"/>
      <c r="Q29" s="9">
        <f t="shared" si="1"/>
        <v>7.9999999999417923</v>
      </c>
      <c r="R29" s="9"/>
      <c r="S29" s="10"/>
      <c r="T29" s="8">
        <v>46200.645833333336</v>
      </c>
      <c r="U29" s="8">
        <v>46201</v>
      </c>
      <c r="V29" s="9">
        <v>0.5</v>
      </c>
      <c r="W29" s="8"/>
      <c r="X29" s="8"/>
      <c r="Y29" s="9">
        <f t="shared" si="3"/>
        <v>7.9999999999417923</v>
      </c>
      <c r="Z29" s="9"/>
      <c r="AA29" s="10"/>
      <c r="AB29" s="8">
        <v>46201.645833333336</v>
      </c>
      <c r="AC29" s="8">
        <v>46202</v>
      </c>
      <c r="AD29" s="34">
        <v>0.5</v>
      </c>
      <c r="AE29" s="8"/>
      <c r="AF29" s="8"/>
      <c r="AG29" s="9">
        <f t="shared" si="5"/>
        <v>7.9999999999417923</v>
      </c>
      <c r="AH29" s="9"/>
      <c r="AI29" s="26"/>
      <c r="AJ29" s="8">
        <v>46202.645833333336</v>
      </c>
      <c r="AK29" s="8">
        <v>46203</v>
      </c>
      <c r="AL29" s="34">
        <v>0.5</v>
      </c>
      <c r="AM29" s="8"/>
      <c r="AN29" s="8"/>
      <c r="AO29" s="9">
        <f t="shared" si="7"/>
        <v>7.9999999999417923</v>
      </c>
      <c r="AP29" s="9"/>
      <c r="AQ29" s="20"/>
      <c r="AR29" s="8">
        <v>46203.645833333336</v>
      </c>
      <c r="AS29" s="8">
        <v>46204</v>
      </c>
      <c r="AT29" s="34">
        <v>0.5</v>
      </c>
      <c r="AU29" s="7"/>
      <c r="AV29" s="8"/>
      <c r="AW29" s="9">
        <f t="shared" si="14"/>
        <v>7.9999999999417923</v>
      </c>
      <c r="AX29" s="9"/>
      <c r="AY29" s="10"/>
      <c r="AZ29" s="8">
        <v>46204.645833333336</v>
      </c>
      <c r="BA29" s="8">
        <v>46205</v>
      </c>
      <c r="BB29" s="34">
        <v>0.5</v>
      </c>
      <c r="BC29" s="7"/>
      <c r="BD29" s="8"/>
      <c r="BE29" s="9">
        <f t="shared" si="11"/>
        <v>7.9999999999417923</v>
      </c>
      <c r="BF29" s="9"/>
      <c r="BG29" s="25"/>
    </row>
    <row r="30" spans="1:59" ht="25.5" customHeight="1">
      <c r="A30" s="6">
        <v>16</v>
      </c>
      <c r="B30" s="30" t="s">
        <v>40</v>
      </c>
      <c r="C30" s="29" t="s">
        <v>14</v>
      </c>
      <c r="D30" s="32"/>
      <c r="E30" s="32"/>
      <c r="F30" s="9"/>
      <c r="G30" s="8"/>
      <c r="H30" s="8"/>
      <c r="I30" s="9">
        <f t="shared" si="13"/>
        <v>0</v>
      </c>
      <c r="J30" s="9"/>
      <c r="K30" s="10"/>
      <c r="L30" s="8">
        <v>46199.645833333336</v>
      </c>
      <c r="M30" s="8">
        <v>46200</v>
      </c>
      <c r="N30" s="9">
        <v>0.5</v>
      </c>
      <c r="O30" s="8"/>
      <c r="P30" s="8"/>
      <c r="Q30" s="9">
        <f t="shared" si="1"/>
        <v>7.9999999999417923</v>
      </c>
      <c r="R30" s="9"/>
      <c r="S30" s="10"/>
      <c r="T30" s="8">
        <v>46200.3125</v>
      </c>
      <c r="U30" s="8">
        <v>46200.666666666664</v>
      </c>
      <c r="V30" s="9">
        <v>0.5</v>
      </c>
      <c r="W30" s="8"/>
      <c r="X30" s="8"/>
      <c r="Y30" s="9">
        <f t="shared" si="3"/>
        <v>7.9999999999417923</v>
      </c>
      <c r="Z30" s="9"/>
      <c r="AA30" s="10"/>
      <c r="AB30" s="8">
        <v>46201.979166666664</v>
      </c>
      <c r="AC30" s="8">
        <v>46202.333333333336</v>
      </c>
      <c r="AD30" s="34">
        <v>0.5</v>
      </c>
      <c r="AE30" s="8"/>
      <c r="AF30" s="8"/>
      <c r="AG30" s="9">
        <f t="shared" si="5"/>
        <v>8.0000000001164153</v>
      </c>
      <c r="AH30" s="9"/>
      <c r="AI30" s="26"/>
      <c r="AJ30" s="8">
        <v>46202.979166666664</v>
      </c>
      <c r="AK30" s="8">
        <v>46203.333333333336</v>
      </c>
      <c r="AL30" s="34">
        <v>0.5</v>
      </c>
      <c r="AM30" s="8"/>
      <c r="AN30" s="8"/>
      <c r="AO30" s="9">
        <f t="shared" si="7"/>
        <v>8.0000000001164153</v>
      </c>
      <c r="AP30" s="9"/>
      <c r="AQ30" s="20"/>
      <c r="AR30" s="8">
        <v>46203.979166666664</v>
      </c>
      <c r="AS30" s="8">
        <v>46204.333333333336</v>
      </c>
      <c r="AT30" s="34">
        <v>0.5</v>
      </c>
      <c r="AU30" s="7"/>
      <c r="AV30" s="8"/>
      <c r="AW30" s="9">
        <f t="shared" si="14"/>
        <v>8.0000000001164153</v>
      </c>
      <c r="AX30" s="9"/>
      <c r="AY30" s="10"/>
      <c r="AZ30" s="8">
        <v>46204.979166666664</v>
      </c>
      <c r="BA30" s="8">
        <v>46205.333333333336</v>
      </c>
      <c r="BB30" s="34">
        <v>0.5</v>
      </c>
      <c r="BC30" s="7"/>
      <c r="BD30" s="8"/>
      <c r="BE30" s="9">
        <f t="shared" si="11"/>
        <v>8.0000000001164153</v>
      </c>
      <c r="BF30" s="9"/>
      <c r="BG30" s="25"/>
    </row>
    <row r="31" spans="1:59" ht="25.5" customHeight="1">
      <c r="A31" s="6">
        <v>17</v>
      </c>
      <c r="B31" s="30" t="s">
        <v>41</v>
      </c>
      <c r="C31" s="29" t="s">
        <v>45</v>
      </c>
      <c r="D31" s="8"/>
      <c r="E31" s="8"/>
      <c r="F31" s="9"/>
      <c r="G31" s="8"/>
      <c r="H31" s="8"/>
      <c r="I31" s="9">
        <f t="shared" ref="I31" si="22">SUM(E31-D31)*24-F31</f>
        <v>0</v>
      </c>
      <c r="J31" s="9"/>
      <c r="K31" s="10"/>
      <c r="L31" s="8"/>
      <c r="M31" s="8"/>
      <c r="N31" s="9"/>
      <c r="O31" s="8"/>
      <c r="P31" s="8"/>
      <c r="Q31" s="9">
        <f t="shared" ref="Q31" si="23">SUM(M31-L31)*24-N31</f>
        <v>0</v>
      </c>
      <c r="R31" s="9"/>
      <c r="S31" s="10"/>
      <c r="T31" s="8"/>
      <c r="U31" s="8"/>
      <c r="V31" s="9"/>
      <c r="W31" s="8"/>
      <c r="X31" s="8"/>
      <c r="Y31" s="9">
        <f t="shared" ref="Y31" si="24">SUM(U31-T31)*24-V31</f>
        <v>0</v>
      </c>
      <c r="Z31" s="9"/>
      <c r="AA31" s="10"/>
      <c r="AB31" s="8"/>
      <c r="AC31" s="8"/>
      <c r="AD31" s="34"/>
      <c r="AE31" s="8"/>
      <c r="AF31" s="8"/>
      <c r="AG31" s="9">
        <f t="shared" ref="AG31" si="25">SUM(AC31-AB31)*24-AD31</f>
        <v>0</v>
      </c>
      <c r="AH31" s="9"/>
      <c r="AI31" s="26"/>
      <c r="AJ31" s="8"/>
      <c r="AK31" s="8"/>
      <c r="AL31" s="34"/>
      <c r="AM31" s="8"/>
      <c r="AN31" s="8"/>
      <c r="AO31" s="9">
        <f t="shared" ref="AO31" si="26">SUM(AK31-AJ31)*24-AL31</f>
        <v>0</v>
      </c>
      <c r="AP31" s="9"/>
      <c r="AQ31" s="20"/>
      <c r="AR31" s="8"/>
      <c r="AS31" s="8"/>
      <c r="AT31" s="34"/>
      <c r="AU31" s="7"/>
      <c r="AV31" s="8"/>
      <c r="AW31" s="9">
        <f t="shared" ref="AW31" si="27">SUM(AS31-AR31)*24-AT31</f>
        <v>0</v>
      </c>
      <c r="AX31" s="9"/>
      <c r="AY31" s="10"/>
      <c r="AZ31" s="8"/>
      <c r="BA31" s="8"/>
      <c r="BB31" s="34"/>
      <c r="BC31" s="7"/>
      <c r="BD31" s="8"/>
      <c r="BE31" s="9">
        <f t="shared" ref="BE31" si="28">SUM(BA31-AZ31)*24-BB31</f>
        <v>0</v>
      </c>
      <c r="BF31" s="9"/>
      <c r="BG31" s="25"/>
    </row>
    <row r="32" spans="1:59" ht="25.5" customHeight="1">
      <c r="A32" s="6">
        <v>18</v>
      </c>
      <c r="B32" s="30" t="s">
        <v>42</v>
      </c>
      <c r="C32" s="29" t="s">
        <v>46</v>
      </c>
      <c r="D32" s="8"/>
      <c r="E32" s="8"/>
      <c r="F32" s="9"/>
      <c r="G32" s="8"/>
      <c r="H32" s="8"/>
      <c r="I32" s="9">
        <f t="shared" ref="I32" si="29">SUM(E32-D32)*24-F32</f>
        <v>0</v>
      </c>
      <c r="J32" s="9"/>
      <c r="K32" s="10"/>
      <c r="L32" s="8"/>
      <c r="M32" s="8"/>
      <c r="N32" s="9"/>
      <c r="O32" s="8"/>
      <c r="P32" s="8"/>
      <c r="Q32" s="9">
        <f t="shared" ref="Q32" si="30">SUM(M32-L32)*24-N32</f>
        <v>0</v>
      </c>
      <c r="R32" s="9"/>
      <c r="S32" s="10"/>
      <c r="T32" s="8"/>
      <c r="U32" s="8"/>
      <c r="V32" s="9"/>
      <c r="W32" s="8"/>
      <c r="X32" s="8"/>
      <c r="Y32" s="9">
        <f t="shared" ref="Y32" si="31">SUM(U32-T32)*24-V32</f>
        <v>0</v>
      </c>
      <c r="Z32" s="9"/>
      <c r="AA32" s="10"/>
      <c r="AB32" s="8"/>
      <c r="AC32" s="8"/>
      <c r="AD32" s="34"/>
      <c r="AE32" s="8"/>
      <c r="AF32" s="8"/>
      <c r="AG32" s="9">
        <f t="shared" ref="AG32" si="32">SUM(AC32-AB32)*24-AD32</f>
        <v>0</v>
      </c>
      <c r="AH32" s="9"/>
      <c r="AI32" s="26"/>
      <c r="AJ32" s="8"/>
      <c r="AK32" s="8"/>
      <c r="AL32" s="34"/>
      <c r="AM32" s="8"/>
      <c r="AN32" s="8"/>
      <c r="AO32" s="9">
        <f t="shared" ref="AO32" si="33">SUM(AK32-AJ32)*24-AL32</f>
        <v>0</v>
      </c>
      <c r="AP32" s="9"/>
      <c r="AQ32" s="20"/>
      <c r="AR32" s="8"/>
      <c r="AS32" s="8"/>
      <c r="AT32" s="34"/>
      <c r="AU32" s="7"/>
      <c r="AV32" s="8"/>
      <c r="AW32" s="9">
        <f t="shared" ref="AW32" si="34">SUM(AS32-AR32)*24-AT32</f>
        <v>0</v>
      </c>
      <c r="AX32" s="9"/>
      <c r="AY32" s="10"/>
      <c r="AZ32" s="8"/>
      <c r="BA32" s="8"/>
      <c r="BB32" s="34"/>
      <c r="BC32" s="7"/>
      <c r="BD32" s="8"/>
      <c r="BE32" s="9">
        <f t="shared" ref="BE32" si="35">SUM(BA32-AZ32)*24-BB32</f>
        <v>0</v>
      </c>
      <c r="BF32" s="9"/>
      <c r="BG32" s="25"/>
    </row>
    <row r="33" spans="1:57" ht="25.5" customHeight="1">
      <c r="A33" s="21"/>
      <c r="Q33" s="21"/>
      <c r="S33" s="1"/>
      <c r="Y33" s="21"/>
      <c r="AG33" s="21"/>
      <c r="AO33" s="21"/>
      <c r="AW33" s="21"/>
      <c r="BE33" s="21"/>
    </row>
    <row r="34" spans="1:57" ht="25.5" customHeight="1">
      <c r="A34" s="5" t="s">
        <v>9</v>
      </c>
    </row>
    <row r="35" spans="1:57" ht="25.5" customHeight="1">
      <c r="A35" s="22" t="s">
        <v>21</v>
      </c>
    </row>
    <row r="36" spans="1:57" ht="25.5" customHeight="1">
      <c r="A36" s="21" t="s">
        <v>16</v>
      </c>
    </row>
  </sheetData>
  <mergeCells count="17">
    <mergeCell ref="AB5:AI5"/>
    <mergeCell ref="AZ5:BG5"/>
    <mergeCell ref="B5:B6"/>
    <mergeCell ref="C5:C6"/>
    <mergeCell ref="AM6:AN6"/>
    <mergeCell ref="BC6:BD6"/>
    <mergeCell ref="AU6:AV6"/>
    <mergeCell ref="AR5:AY5"/>
    <mergeCell ref="T5:AA5"/>
    <mergeCell ref="AJ5:AQ5"/>
    <mergeCell ref="W6:X6"/>
    <mergeCell ref="AE6:AF6"/>
    <mergeCell ref="A5:A6"/>
    <mergeCell ref="D5:K5"/>
    <mergeCell ref="L5:S5"/>
    <mergeCell ref="G6:H6"/>
    <mergeCell ref="O6:P6"/>
  </mergeCells>
  <pageMargins left="0.25" right="0.25" top="0.75" bottom="0.75" header="0.3" footer="0.3"/>
  <pageSetup paperSize="8" scale="42" orientation="landscape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25AA-668C-42D4-9863-2E533D229EB6}">
  <dimension ref="A1:I19"/>
  <sheetViews>
    <sheetView tabSelected="1" workbookViewId="0">
      <selection activeCell="I21" sqref="I21"/>
    </sheetView>
  </sheetViews>
  <sheetFormatPr defaultRowHeight="14.25"/>
  <cols>
    <col min="1" max="1" width="14.5" customWidth="1"/>
    <col min="2" max="2" width="9.625" customWidth="1"/>
    <col min="3" max="3" width="13.125" customWidth="1"/>
    <col min="5" max="5" width="10.125" bestFit="1" customWidth="1"/>
    <col min="7" max="7" width="10.125" bestFit="1" customWidth="1"/>
    <col min="9" max="9" width="10.125" bestFit="1" customWidth="1"/>
  </cols>
  <sheetData>
    <row r="1" spans="1:8">
      <c r="A1" t="s">
        <v>48</v>
      </c>
      <c r="C1" s="35">
        <v>10257.5</v>
      </c>
      <c r="E1" s="35">
        <f>C1</f>
        <v>10257.5</v>
      </c>
    </row>
    <row r="2" spans="1:8">
      <c r="A2" t="s">
        <v>49</v>
      </c>
      <c r="B2">
        <v>2</v>
      </c>
      <c r="C2" s="35">
        <f>C1*B2</f>
        <v>20515</v>
      </c>
      <c r="F2" s="36"/>
      <c r="G2" s="35">
        <f>C2</f>
        <v>20515</v>
      </c>
    </row>
    <row r="3" spans="1:8">
      <c r="A3" t="s">
        <v>50</v>
      </c>
      <c r="B3">
        <v>12</v>
      </c>
      <c r="C3" s="35">
        <f>C2*B3</f>
        <v>246180</v>
      </c>
    </row>
    <row r="4" spans="1:8">
      <c r="A4" t="s">
        <v>51</v>
      </c>
      <c r="B4">
        <v>313</v>
      </c>
      <c r="C4" s="35">
        <f>C3/B4</f>
        <v>786.51757188498402</v>
      </c>
      <c r="D4">
        <v>13</v>
      </c>
      <c r="E4" s="37">
        <f>E1/D4</f>
        <v>789.03846153846155</v>
      </c>
      <c r="F4">
        <v>26</v>
      </c>
      <c r="G4" s="36">
        <f>G2/F4</f>
        <v>789.03846153846155</v>
      </c>
    </row>
    <row r="5" spans="1:8">
      <c r="A5" t="s">
        <v>52</v>
      </c>
      <c r="B5">
        <v>8</v>
      </c>
      <c r="C5" s="35">
        <f>C4/B5</f>
        <v>98.314696485623003</v>
      </c>
      <c r="E5" s="37">
        <f>E4/B5</f>
        <v>98.629807692307693</v>
      </c>
      <c r="G5" s="36">
        <f>G4/B5</f>
        <v>98.629807692307693</v>
      </c>
    </row>
    <row r="6" spans="1:8">
      <c r="A6" t="s">
        <v>53</v>
      </c>
      <c r="B6">
        <v>60</v>
      </c>
      <c r="C6" s="35">
        <f>C5/B6</f>
        <v>1.6385782747603834</v>
      </c>
      <c r="E6" s="37">
        <f>E5/B6</f>
        <v>1.6438301282051282</v>
      </c>
      <c r="G6" s="36">
        <f>G5/B6</f>
        <v>1.6438301282051282</v>
      </c>
    </row>
    <row r="7" spans="1:8">
      <c r="B7" s="38"/>
      <c r="C7" s="35"/>
      <c r="E7" s="37"/>
    </row>
    <row r="8" spans="1:8">
      <c r="B8" s="38"/>
      <c r="C8" s="35"/>
      <c r="E8" s="37"/>
      <c r="H8" s="36"/>
    </row>
    <row r="9" spans="1:8">
      <c r="B9" s="38"/>
      <c r="C9" s="35"/>
      <c r="E9" s="37"/>
    </row>
    <row r="10" spans="1:8">
      <c r="A10" t="s">
        <v>55</v>
      </c>
      <c r="B10" s="38">
        <v>5</v>
      </c>
      <c r="C10" s="35">
        <f>C4*B10</f>
        <v>3932.5878594249202</v>
      </c>
      <c r="E10" s="37">
        <f>E4*B10</f>
        <v>3945.1923076923076</v>
      </c>
      <c r="G10" s="36">
        <f>G4*B10</f>
        <v>3945.1923076923076</v>
      </c>
    </row>
    <row r="11" spans="1:8">
      <c r="A11" t="s">
        <v>56</v>
      </c>
      <c r="B11" s="38">
        <v>39</v>
      </c>
      <c r="C11" s="35">
        <f>C6*B11</f>
        <v>63.904552715654951</v>
      </c>
      <c r="D11" s="36"/>
      <c r="E11" s="37">
        <f>E6*B11</f>
        <v>64.109375</v>
      </c>
      <c r="G11" s="36">
        <f>G6*B11</f>
        <v>64.109375</v>
      </c>
    </row>
    <row r="12" spans="1:8">
      <c r="C12" s="36">
        <f>C1-(C10+C11)</f>
        <v>6261.0075878594253</v>
      </c>
      <c r="E12" s="36">
        <f>C1-(E10+E11)</f>
        <v>6248.1983173076924</v>
      </c>
      <c r="F12" s="36"/>
      <c r="G12" s="36">
        <f t="shared" ref="G12" si="0">E1-(G10+G11)</f>
        <v>6248.1983173076924</v>
      </c>
    </row>
    <row r="13" spans="1:8">
      <c r="E13" s="37"/>
    </row>
    <row r="14" spans="1:8">
      <c r="A14" t="s">
        <v>54</v>
      </c>
      <c r="B14">
        <v>8</v>
      </c>
      <c r="C14" s="36">
        <f>C4*B14</f>
        <v>6292.1405750798722</v>
      </c>
      <c r="E14" s="37">
        <f>E4*B14</f>
        <v>6312.3076923076924</v>
      </c>
      <c r="G14" s="36">
        <f>G4*B14</f>
        <v>6312.3076923076924</v>
      </c>
    </row>
    <row r="16" spans="1:8">
      <c r="C16" s="36"/>
      <c r="E16" s="36"/>
    </row>
    <row r="17" spans="3:9">
      <c r="C17" s="36"/>
    </row>
    <row r="18" spans="3:9">
      <c r="I18" s="36">
        <f>C14+C10</f>
        <v>10224.728434504792</v>
      </c>
    </row>
    <row r="19" spans="3:9">
      <c r="I19" s="36">
        <f>I18+C11</f>
        <v>10288.632987220446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June 27 - April 3</vt:lpstr>
      <vt:lpstr>Sheet1</vt:lpstr>
      <vt:lpstr>'June 27 - April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Minda</dc:creator>
  <cp:lastModifiedBy>Chris Soler</cp:lastModifiedBy>
  <cp:lastPrinted>2025-03-05T12:23:32Z</cp:lastPrinted>
  <dcterms:created xsi:type="dcterms:W3CDTF">2023-01-09T01:45:00Z</dcterms:created>
  <dcterms:modified xsi:type="dcterms:W3CDTF">2026-07-16T08:55:25Z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2C65CE7059424F10BEF3BDE6360E4053</vt:lpwstr>
  </property>
  <property fmtid="{D5CDD505-2E9C-101B-9397-08002B2CF9AE}" pid="3" name="KSOProductBuildVer">
    <vt:lpwstr>1033-11.2.0.11440</vt:lpwstr>
  </property>
</Properties>
</file>